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u7266\Downloads\"/>
    </mc:Choice>
  </mc:AlternateContent>
  <xr:revisionPtr revIDLastSave="0" documentId="8_{E57D883E-2DE9-47A4-B9BD-00A4B61BC436}" xr6:coauthVersionLast="47" xr6:coauthVersionMax="47" xr10:uidLastSave="{00000000-0000-0000-0000-000000000000}"/>
  <bookViews>
    <workbookView xWindow="-120" yWindow="-120" windowWidth="29040" windowHeight="15720" xr2:uid="{58C94215-ACE0-4C92-BA3C-F466F37F9B8B}"/>
  </bookViews>
  <sheets>
    <sheet name="Operating records" sheetId="2" r:id="rId1"/>
    <sheet name="Linear PL 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37" i="2" l="1" a="1"/>
  <c r="J137" i="2" a="1"/>
  <c r="H137" i="2" a="1"/>
  <c r="L136" i="2" a="1"/>
  <c r="J136" i="2" a="1"/>
  <c r="H136" i="2" a="1"/>
  <c r="L135" i="2" a="1"/>
  <c r="J135" i="2" a="1"/>
  <c r="H135" i="2" a="1"/>
  <c r="L134" i="2" a="1"/>
  <c r="J134" i="2" a="1"/>
  <c r="H134" i="2" a="1"/>
  <c r="L133" i="2" a="1"/>
  <c r="J133" i="2" a="1"/>
  <c r="H133" i="2" a="1"/>
  <c r="L132" i="2" a="1"/>
  <c r="J132" i="2" a="1"/>
  <c r="H132" i="2" a="1"/>
  <c r="L131" i="2" a="1"/>
  <c r="J131" i="2" a="1"/>
  <c r="H131" i="2" a="1"/>
  <c r="L130" i="2" a="1"/>
  <c r="J130" i="2" a="1"/>
  <c r="H130" i="2" a="1"/>
  <c r="L129" i="2" a="1"/>
  <c r="J129" i="2" a="1"/>
  <c r="H129" i="2" a="1"/>
  <c r="L128" i="2" a="1"/>
  <c r="J128" i="2" a="1"/>
  <c r="H128" i="2" a="1"/>
  <c r="L127" i="2" a="1"/>
  <c r="J127" i="2" a="1"/>
  <c r="H127" i="2" a="1"/>
  <c r="L126" i="2" a="1"/>
  <c r="J126" i="2" a="1"/>
  <c r="H126" i="2" a="1"/>
  <c r="L125" i="2" a="1"/>
  <c r="J125" i="2" a="1"/>
  <c r="H125" i="2" a="1"/>
  <c r="L124" i="2" a="1"/>
  <c r="J124" i="2" a="1"/>
  <c r="H124" i="2" a="1"/>
  <c r="L123" i="2" a="1"/>
  <c r="J123" i="2" a="1"/>
  <c r="H123" i="2" a="1"/>
  <c r="L122" i="2" a="1"/>
  <c r="J122" i="2" a="1"/>
  <c r="H122" i="2" a="1"/>
  <c r="L121" i="2" a="1"/>
  <c r="J121" i="2" a="1"/>
  <c r="H121" i="2" a="1"/>
  <c r="L120" i="2" a="1"/>
  <c r="J120" i="2" a="1"/>
  <c r="H120" i="2" a="1"/>
  <c r="L119" i="2" a="1"/>
  <c r="J119" i="2" a="1"/>
  <c r="H119" i="2" a="1"/>
  <c r="L118" i="2" a="1"/>
  <c r="J118" i="2" a="1"/>
  <c r="H118" i="2" a="1"/>
  <c r="L117" i="2" a="1"/>
  <c r="J117" i="2" a="1"/>
  <c r="H117" i="2" a="1"/>
  <c r="L116" i="2" a="1"/>
  <c r="J116" i="2" a="1"/>
  <c r="H116" i="2" a="1"/>
  <c r="L115" i="2" a="1"/>
  <c r="J115" i="2" a="1"/>
  <c r="H115" i="2" a="1"/>
  <c r="L114" i="2" a="1"/>
  <c r="J114" i="2" a="1"/>
  <c r="H114" i="2" a="1"/>
  <c r="L113" i="2" a="1"/>
  <c r="J113" i="2" a="1"/>
  <c r="H113" i="2" a="1"/>
  <c r="L112" i="2" a="1"/>
  <c r="J112" i="2" a="1"/>
  <c r="H112" i="2" a="1"/>
  <c r="L111" i="2" a="1"/>
  <c r="J111" i="2" a="1"/>
  <c r="H111" i="2" a="1"/>
  <c r="L110" i="2" a="1"/>
  <c r="J110" i="2" a="1"/>
  <c r="H110" i="2" a="1"/>
  <c r="L109" i="2" a="1"/>
  <c r="J109" i="2" a="1"/>
  <c r="H109" i="2" a="1"/>
  <c r="L108" i="2" a="1"/>
  <c r="J108" i="2" a="1"/>
  <c r="H108" i="2" a="1"/>
  <c r="L107" i="2" a="1"/>
  <c r="J107" i="2" a="1"/>
  <c r="H107" i="2" a="1"/>
  <c r="L106" i="2" a="1"/>
  <c r="J106" i="2" a="1"/>
  <c r="H106" i="2" a="1"/>
  <c r="L105" i="2" a="1"/>
  <c r="J105" i="2" a="1"/>
  <c r="H105" i="2" a="1"/>
  <c r="L104" i="2" a="1"/>
  <c r="J104" i="2" a="1"/>
  <c r="H104" i="2" a="1"/>
  <c r="L103" i="2" a="1"/>
  <c r="J103" i="2" a="1"/>
  <c r="H103" i="2" a="1"/>
  <c r="L102" i="2" a="1"/>
  <c r="J102" i="2" a="1"/>
  <c r="H102" i="2" a="1"/>
  <c r="L101" i="2" a="1"/>
  <c r="J101" i="2" a="1"/>
  <c r="H101" i="2" a="1"/>
  <c r="L100" i="2" a="1"/>
  <c r="J100" i="2" a="1"/>
  <c r="H100" i="2" a="1"/>
  <c r="L99" i="2" a="1"/>
  <c r="J99" i="2" a="1"/>
  <c r="H99" i="2" a="1"/>
  <c r="L98" i="2" a="1"/>
  <c r="J98" i="2" a="1"/>
  <c r="H98" i="2" a="1"/>
  <c r="L97" i="2" a="1"/>
  <c r="J97" i="2" a="1"/>
  <c r="H97" i="2" a="1"/>
  <c r="L96" i="2" a="1"/>
  <c r="J96" i="2" a="1"/>
  <c r="H96" i="2" a="1"/>
  <c r="L95" i="2" a="1"/>
  <c r="J95" i="2" a="1"/>
  <c r="H95" i="2" a="1"/>
  <c r="L94" i="2" a="1"/>
  <c r="J94" i="2" a="1"/>
  <c r="H94" i="2" a="1"/>
  <c r="L93" i="2" a="1"/>
  <c r="J93" i="2" a="1"/>
  <c r="H93" i="2" a="1"/>
  <c r="L92" i="2" a="1"/>
  <c r="J92" i="2" a="1"/>
  <c r="H92" i="2" a="1"/>
  <c r="L91" i="2" a="1"/>
  <c r="J91" i="2" a="1"/>
  <c r="H91" i="2" a="1"/>
  <c r="L90" i="2" a="1"/>
  <c r="J90" i="2" a="1"/>
  <c r="H90" i="2" a="1"/>
  <c r="L89" i="2" a="1"/>
  <c r="J89" i="2" a="1"/>
  <c r="H89" i="2" a="1"/>
  <c r="L88" i="2" a="1"/>
  <c r="J88" i="2" a="1"/>
  <c r="H88" i="2" a="1"/>
  <c r="L87" i="2" a="1"/>
  <c r="J87" i="2" a="1"/>
  <c r="H87" i="2" a="1"/>
  <c r="L86" i="2" a="1"/>
  <c r="J86" i="2" a="1"/>
  <c r="H86" i="2" a="1"/>
  <c r="L85" i="2" a="1"/>
  <c r="J85" i="2" a="1"/>
  <c r="H85" i="2" a="1"/>
  <c r="L84" i="2" a="1"/>
  <c r="J84" i="2" a="1"/>
  <c r="H84" i="2" a="1"/>
  <c r="L83" i="2" a="1"/>
  <c r="J83" i="2" a="1"/>
  <c r="H83" i="2" a="1"/>
  <c r="L82" i="2" a="1"/>
  <c r="J82" i="2" a="1"/>
  <c r="H82" i="2" a="1"/>
  <c r="L81" i="2" a="1"/>
  <c r="J81" i="2" a="1"/>
  <c r="H81" i="2" a="1"/>
  <c r="L80" i="2" a="1"/>
  <c r="J80" i="2" a="1"/>
  <c r="H80" i="2" a="1"/>
  <c r="L79" i="2" a="1"/>
  <c r="J79" i="2" a="1"/>
  <c r="H79" i="2" a="1"/>
  <c r="L78" i="2" a="1"/>
  <c r="J78" i="2" a="1"/>
  <c r="H78" i="2" a="1"/>
  <c r="L77" i="2" a="1"/>
  <c r="J77" i="2" a="1"/>
  <c r="H77" i="2" a="1"/>
  <c r="L76" i="2" a="1"/>
  <c r="J76" i="2" a="1"/>
  <c r="H76" i="2" a="1"/>
  <c r="L75" i="2" a="1"/>
  <c r="J75" i="2" a="1"/>
  <c r="H75" i="2" a="1"/>
  <c r="L74" i="2" a="1"/>
  <c r="J74" i="2" a="1"/>
  <c r="H74" i="2" a="1"/>
  <c r="L73" i="2" a="1"/>
  <c r="J73" i="2" a="1"/>
  <c r="H73" i="2" a="1"/>
  <c r="L72" i="2" a="1"/>
  <c r="J72" i="2" a="1"/>
  <c r="H72" i="2" a="1"/>
  <c r="L71" i="2" a="1"/>
  <c r="J71" i="2" a="1"/>
  <c r="H71" i="2" a="1"/>
  <c r="L70" i="2" a="1"/>
  <c r="J70" i="2" a="1"/>
  <c r="H70" i="2" a="1"/>
  <c r="L69" i="2" a="1"/>
  <c r="J69" i="2" a="1"/>
  <c r="H69" i="2" a="1"/>
  <c r="L68" i="2" a="1"/>
  <c r="J68" i="2" a="1"/>
  <c r="H68" i="2" a="1"/>
  <c r="L67" i="2" a="1"/>
  <c r="J67" i="2" a="1"/>
  <c r="H67" i="2" a="1"/>
  <c r="L66" i="2" a="1"/>
  <c r="J66" i="2" a="1"/>
  <c r="H66" i="2" a="1"/>
  <c r="L65" i="2" a="1"/>
  <c r="J65" i="2" a="1"/>
  <c r="H65" i="2" a="1"/>
  <c r="L64" i="2" a="1"/>
  <c r="J64" i="2" a="1"/>
  <c r="H64" i="2" a="1"/>
  <c r="L63" i="2" a="1"/>
  <c r="J63" i="2" a="1"/>
  <c r="H63" i="2" a="1"/>
  <c r="L62" i="2" a="1"/>
  <c r="J62" i="2" a="1"/>
  <c r="H62" i="2" a="1"/>
  <c r="L61" i="2" a="1"/>
  <c r="J61" i="2" a="1"/>
  <c r="H61" i="2" a="1"/>
  <c r="L60" i="2" a="1"/>
  <c r="J60" i="2" a="1"/>
  <c r="H60" i="2" a="1"/>
  <c r="L59" i="2" a="1"/>
  <c r="J59" i="2" a="1"/>
  <c r="H59" i="2" a="1"/>
  <c r="L58" i="2" a="1"/>
  <c r="J58" i="2" a="1"/>
  <c r="H58" i="2" a="1"/>
  <c r="L57" i="2" a="1"/>
  <c r="J57" i="2" a="1"/>
  <c r="H57" i="2" a="1"/>
  <c r="L56" i="2" a="1"/>
  <c r="J56" i="2" a="1"/>
  <c r="H56" i="2" a="1"/>
  <c r="L55" i="2" a="1"/>
  <c r="J55" i="2" a="1"/>
  <c r="H55" i="2" a="1"/>
  <c r="L54" i="2" a="1"/>
  <c r="J54" i="2" a="1"/>
  <c r="H54" i="2" a="1"/>
  <c r="L53" i="2" a="1"/>
  <c r="J53" i="2" a="1"/>
  <c r="H53" i="2" a="1"/>
  <c r="L52" i="2" a="1"/>
  <c r="J52" i="2" a="1"/>
  <c r="H52" i="2" a="1"/>
  <c r="L51" i="2" a="1"/>
  <c r="J51" i="2" a="1"/>
  <c r="H51" i="2" a="1"/>
  <c r="L50" i="2" a="1"/>
  <c r="J50" i="2" a="1"/>
  <c r="H50" i="2" a="1"/>
  <c r="L49" i="2" a="1"/>
  <c r="J49" i="2" a="1"/>
  <c r="H49" i="2" a="1"/>
  <c r="L48" i="2" a="1"/>
  <c r="J48" i="2" a="1"/>
  <c r="H48" i="2" a="1"/>
  <c r="L47" i="2" a="1"/>
  <c r="J47" i="2" a="1"/>
  <c r="H47" i="2" a="1"/>
  <c r="L46" i="2" a="1"/>
  <c r="J46" i="2" a="1"/>
  <c r="H46" i="2" a="1"/>
  <c r="L45" i="2" a="1"/>
  <c r="J45" i="2" a="1"/>
  <c r="H45" i="2" a="1"/>
  <c r="L44" i="2" a="1"/>
  <c r="J44" i="2" a="1"/>
  <c r="H44" i="2" a="1"/>
  <c r="L43" i="2" a="1"/>
  <c r="J43" i="2" a="1"/>
  <c r="H43" i="2" a="1"/>
  <c r="L42" i="2" a="1"/>
  <c r="J42" i="2" a="1"/>
  <c r="H42" i="2" a="1"/>
  <c r="L41" i="2" a="1"/>
  <c r="J41" i="2" a="1"/>
  <c r="H41" i="2" a="1"/>
  <c r="L40" i="2" a="1"/>
  <c r="J40" i="2" a="1"/>
  <c r="H40" i="2" a="1"/>
  <c r="L39" i="2" a="1"/>
  <c r="J39" i="2" a="1"/>
  <c r="H39" i="2" a="1"/>
  <c r="L38" i="2" a="1"/>
  <c r="J38" i="2" a="1"/>
  <c r="H38" i="2" a="1"/>
  <c r="L37" i="2" a="1"/>
  <c r="J37" i="2" a="1"/>
  <c r="H37" i="2" a="1"/>
  <c r="L36" i="2" a="1"/>
  <c r="J36" i="2" a="1"/>
  <c r="H36" i="2" a="1"/>
  <c r="L35" i="2" a="1"/>
  <c r="J35" i="2" a="1"/>
  <c r="H35" i="2" a="1"/>
  <c r="L34" i="2" a="1"/>
  <c r="J34" i="2" a="1"/>
  <c r="H34" i="2" a="1"/>
  <c r="L33" i="2" a="1"/>
  <c r="J33" i="2" a="1"/>
  <c r="H33" i="2" a="1"/>
  <c r="L32" i="2" a="1"/>
  <c r="J32" i="2" a="1"/>
  <c r="H32" i="2" a="1"/>
  <c r="L31" i="2" a="1"/>
  <c r="J31" i="2" a="1"/>
  <c r="H31" i="2" a="1"/>
  <c r="L30" i="2" a="1"/>
  <c r="J30" i="2" a="1"/>
  <c r="H30" i="2" a="1"/>
  <c r="L29" i="2" a="1"/>
  <c r="J29" i="2" a="1"/>
  <c r="H29" i="2" a="1"/>
  <c r="L28" i="2" a="1"/>
  <c r="J28" i="2" a="1"/>
  <c r="H28" i="2" a="1"/>
  <c r="L27" i="2" a="1"/>
  <c r="J27" i="2" a="1"/>
  <c r="H27" i="2" a="1"/>
  <c r="L26" i="2" a="1"/>
  <c r="J26" i="2" a="1"/>
  <c r="H26" i="2" a="1"/>
  <c r="L25" i="2" a="1"/>
  <c r="J25" i="2" a="1"/>
  <c r="H25" i="2" a="1"/>
  <c r="L24" i="2" a="1"/>
  <c r="J24" i="2" a="1"/>
  <c r="H24" i="2" a="1"/>
  <c r="L23" i="2" a="1"/>
  <c r="J23" i="2" a="1"/>
  <c r="H23" i="2" a="1"/>
  <c r="L22" i="2" a="1"/>
  <c r="J22" i="2" a="1"/>
  <c r="H22" i="2" a="1"/>
  <c r="L21" i="2" a="1"/>
  <c r="J21" i="2" a="1"/>
  <c r="H21" i="2" a="1"/>
  <c r="L20" i="2" a="1"/>
  <c r="J20" i="2" a="1"/>
  <c r="H20" i="2" a="1"/>
  <c r="L19" i="2" a="1"/>
  <c r="J19" i="2" a="1"/>
  <c r="H19" i="2" a="1"/>
  <c r="L18" i="2" a="1"/>
  <c r="J18" i="2" a="1"/>
  <c r="H18" i="2" a="1"/>
  <c r="L17" i="2" a="1"/>
  <c r="J17" i="2" a="1"/>
  <c r="H17" i="2" a="1"/>
  <c r="L16" i="2" a="1"/>
  <c r="J16" i="2" a="1"/>
  <c r="H16" i="2" a="1"/>
  <c r="L15" i="2" a="1"/>
  <c r="J15" i="2" a="1"/>
  <c r="H15" i="2" a="1"/>
  <c r="L14" i="2" a="1"/>
  <c r="J14" i="2" a="1"/>
  <c r="H14" i="2" a="1"/>
  <c r="L13" i="2" a="1"/>
  <c r="J13" i="2" a="1"/>
  <c r="H13" i="2" a="1"/>
  <c r="L12" i="2" a="1"/>
  <c r="J12" i="2" a="1"/>
  <c r="H12" i="2" a="1"/>
  <c r="L11" i="2" a="1"/>
  <c r="J11" i="2" a="1"/>
  <c r="H11" i="2" a="1"/>
  <c r="L10" i="2" a="1"/>
  <c r="J10" i="2" a="1"/>
  <c r="H10" i="2" a="1"/>
  <c r="L9" i="2" a="1"/>
  <c r="J9" i="2" a="1"/>
  <c r="H9" i="2" a="1"/>
  <c r="L8" i="2" a="1"/>
  <c r="J8" i="2" a="1"/>
  <c r="H8" i="2" a="1"/>
  <c r="L7" i="2" a="1"/>
  <c r="J7" i="2" a="1"/>
  <c r="H7" i="2" a="1"/>
  <c r="L6" i="2" a="1"/>
  <c r="J6" i="2" a="1"/>
  <c r="H6" i="2" a="1"/>
  <c r="L5" i="2" a="1"/>
  <c r="J5" i="2" a="1"/>
  <c r="H5" i="2" a="1"/>
  <c r="L4" i="2" a="1"/>
  <c r="J4" i="2" a="1"/>
  <c r="H4" i="2" a="1"/>
  <c r="L3" i="2" a="1"/>
  <c r="J3" i="2" a="1"/>
  <c r="H3" i="2" a="1"/>
  <c r="H69" i="1"/>
  <c r="H68" i="1"/>
  <c r="AK64" i="1"/>
  <c r="AI64" i="1"/>
  <c r="AG64" i="1"/>
  <c r="AE64" i="1"/>
  <c r="AC64" i="1"/>
  <c r="AA64" i="1"/>
  <c r="Y64" i="1"/>
  <c r="W64" i="1"/>
  <c r="U64" i="1"/>
  <c r="S64" i="1"/>
  <c r="Q64" i="1"/>
  <c r="O64" i="1"/>
  <c r="M64" i="1"/>
  <c r="K64" i="1"/>
  <c r="I6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AK55" i="1" l="1"/>
  <c r="AK54" i="1"/>
  <c r="AK63" i="1" s="1"/>
  <c r="AI55" i="1"/>
  <c r="AI54" i="1"/>
  <c r="AI63" i="1" s="1"/>
  <c r="AG55" i="1"/>
  <c r="AG54" i="1"/>
  <c r="AG63" i="1" s="1"/>
  <c r="AE55" i="1"/>
  <c r="AE54" i="1"/>
  <c r="AE63" i="1" s="1"/>
  <c r="AC55" i="1"/>
  <c r="AC54" i="1"/>
  <c r="AC63" i="1" s="1"/>
  <c r="AA55" i="1"/>
  <c r="AA54" i="1"/>
  <c r="AA63" i="1" s="1"/>
  <c r="Y55" i="1"/>
  <c r="Y54" i="1"/>
  <c r="Y63" i="1" s="1"/>
  <c r="W55" i="1"/>
  <c r="W54" i="1"/>
  <c r="W63" i="1" s="1"/>
  <c r="U55" i="1"/>
  <c r="U54" i="1"/>
  <c r="U63" i="1" s="1"/>
  <c r="S55" i="1"/>
  <c r="S54" i="1"/>
  <c r="S63" i="1" s="1"/>
  <c r="Q55" i="1"/>
  <c r="Q54" i="1"/>
  <c r="Q63" i="1" s="1"/>
  <c r="O55" i="1"/>
  <c r="O54" i="1"/>
  <c r="O63" i="1" s="1"/>
  <c r="M55" i="1"/>
  <c r="M54" i="1"/>
  <c r="M63" i="1" s="1"/>
  <c r="K55" i="1"/>
  <c r="K54" i="1"/>
  <c r="K63" i="1" s="1"/>
  <c r="I55" i="1"/>
  <c r="I54" i="1"/>
  <c r="I63" i="1" s="1"/>
  <c r="AK56" i="1" l="1"/>
  <c r="AK62" i="1"/>
  <c r="AI56" i="1"/>
  <c r="AI62" i="1"/>
  <c r="AG56" i="1"/>
  <c r="AG62" i="1"/>
  <c r="AE56" i="1"/>
  <c r="AE62" i="1"/>
  <c r="AC56" i="1"/>
  <c r="AC62" i="1"/>
  <c r="AA56" i="1"/>
  <c r="AA62" i="1"/>
  <c r="Y56" i="1"/>
  <c r="Y62" i="1"/>
  <c r="W56" i="1"/>
  <c r="W62" i="1"/>
  <c r="U56" i="1"/>
  <c r="U62" i="1"/>
  <c r="S56" i="1"/>
  <c r="S62" i="1"/>
  <c r="Q56" i="1"/>
  <c r="Q62" i="1"/>
  <c r="O56" i="1"/>
  <c r="O62" i="1"/>
  <c r="M56" i="1"/>
  <c r="M62" i="1"/>
  <c r="K56" i="1"/>
  <c r="K62" i="1"/>
  <c r="I56" i="1"/>
  <c r="I62" i="1"/>
  <c r="AK58" i="1" l="1"/>
  <c r="AK59" i="1"/>
  <c r="AK61" i="1" s="1"/>
  <c r="AK65" i="1" s="1"/>
  <c r="AI58" i="1"/>
  <c r="AI59" i="1"/>
  <c r="AI61" i="1" s="1"/>
  <c r="AI65" i="1" s="1"/>
  <c r="AG58" i="1"/>
  <c r="AG59" i="1"/>
  <c r="AG61" i="1" s="1"/>
  <c r="AG65" i="1" s="1"/>
  <c r="AE58" i="1"/>
  <c r="AE59" i="1"/>
  <c r="AE61" i="1" s="1"/>
  <c r="AE65" i="1" s="1"/>
  <c r="AC58" i="1"/>
  <c r="AC59" i="1"/>
  <c r="AC61" i="1" s="1"/>
  <c r="AC65" i="1" s="1"/>
  <c r="AA58" i="1"/>
  <c r="AA59" i="1"/>
  <c r="AA61" i="1" s="1"/>
  <c r="AA65" i="1" s="1"/>
  <c r="Y58" i="1"/>
  <c r="Y59" i="1"/>
  <c r="Y61" i="1" s="1"/>
  <c r="Y65" i="1" s="1"/>
  <c r="W58" i="1"/>
  <c r="W59" i="1"/>
  <c r="W61" i="1" s="1"/>
  <c r="W65" i="1" s="1"/>
  <c r="U58" i="1"/>
  <c r="U59" i="1"/>
  <c r="U61" i="1" s="1"/>
  <c r="U65" i="1" s="1"/>
  <c r="S58" i="1"/>
  <c r="S59" i="1"/>
  <c r="S61" i="1" s="1"/>
  <c r="S65" i="1" s="1"/>
  <c r="Q58" i="1"/>
  <c r="Q59" i="1"/>
  <c r="Q61" i="1" s="1"/>
  <c r="Q65" i="1" s="1"/>
  <c r="O58" i="1"/>
  <c r="O59" i="1"/>
  <c r="O61" i="1" s="1"/>
  <c r="O65" i="1" s="1"/>
  <c r="M58" i="1"/>
  <c r="M59" i="1"/>
  <c r="M61" i="1" s="1"/>
  <c r="M65" i="1" s="1"/>
  <c r="K58" i="1"/>
  <c r="K59" i="1"/>
  <c r="K61" i="1" s="1"/>
  <c r="K65" i="1" s="1"/>
  <c r="H70" i="1"/>
  <c r="I58" i="1"/>
  <c r="I59" i="1"/>
  <c r="I61" i="1" s="1"/>
  <c r="I65" i="1" s="1"/>
  <c r="H71" i="1" l="1"/>
  <c r="H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<sst xmlns="http://schemas.openxmlformats.org/spreadsheetml/2006/main" count="1304" uniqueCount="858">
  <si>
    <t>Linear PL corrosion measurement</t>
    <phoneticPr fontId="1"/>
  </si>
  <si>
    <t>No.</t>
  </si>
  <si>
    <t>Abbre.</t>
  </si>
  <si>
    <t>Mark</t>
  </si>
  <si>
    <t>Dimension / Item</t>
  </si>
  <si>
    <t>Japanese (日本語)</t>
  </si>
  <si>
    <t>EB-T</t>
    <phoneticPr fontId="1"/>
  </si>
  <si>
    <t>A</t>
  </si>
  <si>
    <t>Bore Diameter After Use
– Transverse to Sliding Direction</t>
  </si>
  <si>
    <t>摺動方向と直交する方向の
使用後内径</t>
  </si>
  <si>
    <t>EB-S</t>
    <phoneticPr fontId="1"/>
  </si>
  <si>
    <t>B</t>
  </si>
  <si>
    <t>Bore Diameter After Use
– Sliding Direction</t>
  </si>
  <si>
    <t>摺動面摺動方向使用後穴径</t>
  </si>
  <si>
    <t>PL Dimensions Specifications</t>
  </si>
  <si>
    <t>SED</t>
  </si>
  <si>
    <t>C</t>
  </si>
  <si>
    <t>Short-end Edge Damage Length</t>
  </si>
  <si>
    <t>短端側エッジ損傷長さ</t>
  </si>
  <si>
    <t>LED</t>
  </si>
  <si>
    <t>D</t>
  </si>
  <si>
    <t>Long-end Edge Damage Length</t>
  </si>
  <si>
    <t>長端側エッジ損傷長さ</t>
  </si>
  <si>
    <t>Remark in English</t>
    <phoneticPr fontId="1"/>
  </si>
  <si>
    <t>Data Type</t>
    <phoneticPr fontId="1"/>
  </si>
  <si>
    <t>Data Source</t>
    <phoneticPr fontId="1"/>
  </si>
  <si>
    <t>Abbre.</t>
    <phoneticPr fontId="1"/>
  </si>
  <si>
    <t>Mark</t>
    <phoneticPr fontId="1"/>
  </si>
  <si>
    <t>Unit</t>
    <phoneticPr fontId="1"/>
  </si>
  <si>
    <t>LSD</t>
  </si>
  <si>
    <t>E</t>
  </si>
  <si>
    <t>Surface Damage Length
(damage depth ≥ 0.1 mm)</t>
  </si>
  <si>
    <t>表面損傷長さ
（損傷深さ 0.1 mm以上）</t>
  </si>
  <si>
    <t>内径中心から短端側端面までの距離（鋼帯を含む）</t>
    <phoneticPr fontId="1"/>
  </si>
  <si>
    <t>Distance from Plate Short-end to Bore Center(steel band included)</t>
    <phoneticPr fontId="1"/>
  </si>
  <si>
    <t>Input</t>
  </si>
  <si>
    <t>Specification</t>
  </si>
  <si>
    <t>PSEtBC</t>
    <phoneticPr fontId="1"/>
  </si>
  <si>
    <t>W0</t>
    <phoneticPr fontId="1"/>
  </si>
  <si>
    <t>mm</t>
    <phoneticPr fontId="1"/>
  </si>
  <si>
    <t>PSEtLSD</t>
  </si>
  <si>
    <t>F</t>
  </si>
  <si>
    <t>Distance from Short-End Edge 
to Surface-Damage Boundary
(steel band excluded)</t>
    <phoneticPr fontId="1"/>
  </si>
  <si>
    <t>短端側端面から表面損傷
境界までの距離
（鋼帯を除く）</t>
  </si>
  <si>
    <t>鋼帯厚さ</t>
    <phoneticPr fontId="1"/>
  </si>
  <si>
    <t>Steel band thickness</t>
    <phoneticPr fontId="1"/>
  </si>
  <si>
    <t>SBT</t>
    <phoneticPr fontId="1"/>
  </si>
  <si>
    <t>X0</t>
    <phoneticPr fontId="1"/>
  </si>
  <si>
    <t>TED</t>
  </si>
  <si>
    <t>G</t>
  </si>
  <si>
    <t>Total Edge Damage Length
(= B + C + D)</t>
  </si>
  <si>
    <t>エッジ損傷合計長さ
（= B + C + D）</t>
  </si>
  <si>
    <t>使用前穴半径（＝H0／2）</t>
    <rPh sb="3" eb="4">
      <t>アナ</t>
    </rPh>
    <phoneticPr fontId="1"/>
  </si>
  <si>
    <t>Bore Radius before use (= H₀ / 2)</t>
    <phoneticPr fontId="1"/>
  </si>
  <si>
    <t>BR</t>
    <phoneticPr fontId="1"/>
  </si>
  <si>
    <t>Y0</t>
    <phoneticPr fontId="1"/>
  </si>
  <si>
    <t>LD</t>
  </si>
  <si>
    <t>T</t>
  </si>
  <si>
    <t>Long-End Damage Length
(= F − (W0 − X0 + Y0))</t>
    <phoneticPr fontId="1"/>
  </si>
  <si>
    <r>
      <rPr>
        <sz val="10"/>
        <color rgb="FF000000"/>
        <rFont val="ＭＳ ゴシック"/>
        <family val="3"/>
        <charset val="128"/>
      </rPr>
      <t>長端側損傷長さ
（</t>
    </r>
    <r>
      <rPr>
        <sz val="10"/>
        <color rgb="FF000000"/>
        <rFont val="Arial"/>
        <family val="2"/>
      </rPr>
      <t xml:space="preserve">= F </t>
    </r>
    <r>
      <rPr>
        <sz val="10"/>
        <color rgb="FF000000"/>
        <rFont val="Carlito"/>
        <family val="2"/>
        <charset val="128"/>
      </rPr>
      <t>−</t>
    </r>
    <r>
      <rPr>
        <sz val="10"/>
        <color rgb="FF000000"/>
        <rFont val="Arial"/>
        <family val="2"/>
      </rPr>
      <t xml:space="preserve"> (W0 </t>
    </r>
    <r>
      <rPr>
        <sz val="10"/>
        <color rgb="FF000000"/>
        <rFont val="Carlito"/>
        <family val="2"/>
        <charset val="128"/>
      </rPr>
      <t>−</t>
    </r>
    <r>
      <rPr>
        <sz val="10"/>
        <color rgb="FF000000"/>
        <rFont val="Arial"/>
        <family val="2"/>
      </rPr>
      <t xml:space="preserve"> X0 + Y0)</t>
    </r>
    <r>
      <rPr>
        <sz val="10"/>
        <color rgb="FF000000"/>
        <rFont val="ＭＳ ゴシック"/>
        <family val="3"/>
        <charset val="128"/>
      </rPr>
      <t>）</t>
    </r>
    <phoneticPr fontId="1"/>
  </si>
  <si>
    <t>全閉時の内径中心間距離</t>
    <phoneticPr fontId="1"/>
  </si>
  <si>
    <t>Bore-Center Distance at Fully Closed Position</t>
  </si>
  <si>
    <t>FCCD</t>
    <phoneticPr fontId="1"/>
  </si>
  <si>
    <t>Z0</t>
    <phoneticPr fontId="1"/>
  </si>
  <si>
    <t>EB-NS</t>
    <phoneticPr fontId="1"/>
  </si>
  <si>
    <t>H</t>
  </si>
  <si>
    <t>Enlarged Bore Diameter After Use
– Non-Sliding Face (optional)</t>
    <phoneticPr fontId="1"/>
  </si>
  <si>
    <t>非摺動面摺動方向使用後穴径</t>
  </si>
  <si>
    <t>使用前初期ストローク（＝Z0－H0）</t>
    <phoneticPr fontId="1"/>
  </si>
  <si>
    <t>Stroke Distance Before Use (= Z0 − H₀)</t>
    <phoneticPr fontId="1"/>
  </si>
  <si>
    <t>Calculation</t>
  </si>
  <si>
    <t>Formula</t>
  </si>
  <si>
    <t>SD</t>
    <phoneticPr fontId="1"/>
  </si>
  <si>
    <t>R0</t>
    <phoneticPr fontId="1"/>
  </si>
  <si>
    <t>NT</t>
  </si>
  <si>
    <t>I</t>
  </si>
  <si>
    <t>Neck Thickness (optional)</t>
  </si>
  <si>
    <t>ネック部厚さ</t>
  </si>
  <si>
    <t>使用前内径</t>
    <phoneticPr fontId="1"/>
  </si>
  <si>
    <t>Bore Diameter before use (= 2Y0)</t>
    <phoneticPr fontId="1"/>
  </si>
  <si>
    <t>BDia</t>
    <phoneticPr fontId="1"/>
  </si>
  <si>
    <t>H0 = 2*Y0</t>
    <phoneticPr fontId="1"/>
  </si>
  <si>
    <t>H0</t>
  </si>
  <si>
    <t>Bore Diameter
(H0 = 2 × Y0)</t>
    <phoneticPr fontId="1"/>
  </si>
  <si>
    <r>
      <t>2</t>
    </r>
    <r>
      <rPr>
        <sz val="10"/>
        <color rgb="FF000000"/>
        <rFont val="ＭＳ ゴシック"/>
        <family val="3"/>
        <charset val="128"/>
      </rPr>
      <t>倍半径
（</t>
    </r>
    <r>
      <rPr>
        <sz val="10"/>
        <color rgb="FF000000"/>
        <rFont val="Arial"/>
        <family val="2"/>
      </rPr>
      <t xml:space="preserve">H0 = 2 </t>
    </r>
    <r>
      <rPr>
        <sz val="10"/>
        <color rgb="FF000000"/>
        <rFont val="Carlito"/>
        <family val="2"/>
        <charset val="128"/>
      </rPr>
      <t>×</t>
    </r>
    <r>
      <rPr>
        <sz val="10"/>
        <color rgb="FF000000"/>
        <rFont val="Arial"/>
        <family val="2"/>
      </rPr>
      <t xml:space="preserve"> Y0</t>
    </r>
    <r>
      <rPr>
        <sz val="10"/>
        <color rgb="FF000000"/>
        <rFont val="ＭＳ ゴシック"/>
        <family val="3"/>
        <charset val="128"/>
      </rPr>
      <t>）</t>
    </r>
    <phoneticPr fontId="1"/>
  </si>
  <si>
    <t>PSEtBC</t>
  </si>
  <si>
    <t>Distance from Plate Short-end Edge to Bore Center
(including band)</t>
    <phoneticPr fontId="1"/>
  </si>
  <si>
    <t>中心から端までの距離
（鋼帯を含む）</t>
  </si>
  <si>
    <t>SBT</t>
  </si>
  <si>
    <t>Band Thickness</t>
  </si>
  <si>
    <t>鋼帯厚さ（バンド厚さ）</t>
  </si>
  <si>
    <t>BR</t>
  </si>
  <si>
    <t>Unused Radius (each side)</t>
  </si>
  <si>
    <t>未使用半径（各側）</t>
  </si>
  <si>
    <t>FCCD</t>
  </si>
  <si>
    <t>Full Close Center Distance</t>
  </si>
  <si>
    <t>全閉中心距離</t>
  </si>
  <si>
    <t>RS</t>
  </si>
  <si>
    <t>R</t>
  </si>
  <si>
    <t>Remaining Stroke 
R = Z0 − T_upper − T_lower − 2 × Y0</t>
    <phoneticPr fontId="1"/>
  </si>
  <si>
    <r>
      <rPr>
        <sz val="10"/>
        <color rgb="FF000000"/>
        <rFont val="ＭＳ ゴシック"/>
        <family val="3"/>
        <charset val="128"/>
      </rPr>
      <t xml:space="preserve">残存ストローク
</t>
    </r>
    <r>
      <rPr>
        <sz val="10"/>
        <color rgb="FF000000"/>
        <rFont val="Arial"/>
        <family val="2"/>
      </rPr>
      <t xml:space="preserve">= Z0 </t>
    </r>
    <r>
      <rPr>
        <sz val="10"/>
        <color rgb="FF000000"/>
        <rFont val="Carlito"/>
        <family val="2"/>
        <charset val="128"/>
      </rPr>
      <t>−</t>
    </r>
    <r>
      <rPr>
        <sz val="10"/>
        <color rgb="FF000000"/>
        <rFont val="Arial"/>
        <family val="2"/>
      </rPr>
      <t xml:space="preserve"> T_upper </t>
    </r>
    <r>
      <rPr>
        <sz val="10"/>
        <color rgb="FF000000"/>
        <rFont val="Carlito"/>
        <family val="2"/>
        <charset val="128"/>
      </rPr>
      <t>−</t>
    </r>
    <r>
      <rPr>
        <sz val="10"/>
        <color rgb="FF000000"/>
        <rFont val="Arial"/>
        <family val="2"/>
      </rPr>
      <t xml:space="preserve"> T_lower </t>
    </r>
    <r>
      <rPr>
        <sz val="10"/>
        <color rgb="FF000000"/>
        <rFont val="Carlito"/>
        <family val="2"/>
        <charset val="128"/>
      </rPr>
      <t>−</t>
    </r>
    <r>
      <rPr>
        <sz val="10"/>
        <color rgb="FF000000"/>
        <rFont val="Arial"/>
        <family val="2"/>
      </rPr>
      <t xml:space="preserve"> Y0</t>
    </r>
    <r>
      <rPr>
        <sz val="10"/>
        <color rgb="FF000000"/>
        <rFont val="Carlito"/>
        <family val="2"/>
        <charset val="128"/>
      </rPr>
      <t>×</t>
    </r>
    <r>
      <rPr>
        <sz val="10"/>
        <color rgb="FF000000"/>
        <rFont val="Arial"/>
        <family val="2"/>
      </rPr>
      <t>2</t>
    </r>
    <phoneticPr fontId="1"/>
  </si>
  <si>
    <t>日本語説明</t>
    <rPh sb="0" eb="3">
      <t>ニホンゴ</t>
    </rPh>
    <rPh sb="3" eb="5">
      <t>セツメイ</t>
    </rPh>
    <phoneticPr fontId="1"/>
  </si>
  <si>
    <t>プレートID</t>
    <phoneticPr fontId="1"/>
  </si>
  <si>
    <t>Plate ID: (U/L)AA-BBB-CC(DDD)</t>
    <phoneticPr fontId="1"/>
  </si>
  <si>
    <t>Identification</t>
  </si>
  <si>
    <t>PL ID</t>
    <phoneticPr fontId="1"/>
  </si>
  <si>
    <t>-</t>
    <phoneticPr fontId="1"/>
  </si>
  <si>
    <t>UPL-001</t>
    <phoneticPr fontId="1"/>
  </si>
  <si>
    <t>LPL-001</t>
    <phoneticPr fontId="1"/>
  </si>
  <si>
    <t>UPL-002</t>
    <phoneticPr fontId="1"/>
  </si>
  <si>
    <t>LPL-002</t>
    <phoneticPr fontId="1"/>
  </si>
  <si>
    <t>UPL-003</t>
    <phoneticPr fontId="1"/>
  </si>
  <si>
    <t>LPL-003</t>
    <phoneticPr fontId="1"/>
  </si>
  <si>
    <t>UPL-004</t>
    <phoneticPr fontId="1"/>
  </si>
  <si>
    <t>LPL-004</t>
    <phoneticPr fontId="1"/>
  </si>
  <si>
    <t>UPL-005</t>
    <phoneticPr fontId="1"/>
  </si>
  <si>
    <t>LPL-005</t>
    <phoneticPr fontId="1"/>
  </si>
  <si>
    <t>UPL-012</t>
    <phoneticPr fontId="1"/>
  </si>
  <si>
    <t>LPL-012</t>
    <phoneticPr fontId="1"/>
  </si>
  <si>
    <t>UPL-013</t>
    <phoneticPr fontId="1"/>
  </si>
  <si>
    <t>LPL-013</t>
    <phoneticPr fontId="1"/>
  </si>
  <si>
    <t>UPL-014</t>
    <phoneticPr fontId="1"/>
  </si>
  <si>
    <t>LPL-014</t>
    <phoneticPr fontId="1"/>
  </si>
  <si>
    <t>UPL-016</t>
    <phoneticPr fontId="1"/>
  </si>
  <si>
    <t>LPL-016</t>
    <phoneticPr fontId="1"/>
  </si>
  <si>
    <t>UPL-017</t>
    <phoneticPr fontId="1"/>
  </si>
  <si>
    <t>LPL-017</t>
    <phoneticPr fontId="1"/>
  </si>
  <si>
    <t>UPLA-018</t>
    <phoneticPr fontId="1"/>
  </si>
  <si>
    <t>LPLA-018</t>
    <phoneticPr fontId="1"/>
  </si>
  <si>
    <t>UPL-019</t>
    <phoneticPr fontId="1"/>
  </si>
  <si>
    <t>LPL-019</t>
    <phoneticPr fontId="1"/>
  </si>
  <si>
    <t>UPLA-024</t>
    <phoneticPr fontId="1"/>
  </si>
  <si>
    <t>LPLA-024</t>
    <phoneticPr fontId="1"/>
  </si>
  <si>
    <t>UPL-030</t>
    <phoneticPr fontId="1"/>
  </si>
  <si>
    <t>LPL-030</t>
    <phoneticPr fontId="1"/>
  </si>
  <si>
    <t>UPL-029</t>
    <phoneticPr fontId="1"/>
  </si>
  <si>
    <t>LPL-029</t>
    <phoneticPr fontId="1"/>
  </si>
  <si>
    <t>UPL-033</t>
    <phoneticPr fontId="1"/>
  </si>
  <si>
    <t>LPL-033</t>
  </si>
  <si>
    <t>使用ヒート数</t>
    <phoneticPr fontId="1"/>
  </si>
  <si>
    <t>Heats Used</t>
    <phoneticPr fontId="1"/>
  </si>
  <si>
    <t>Operation Record</t>
  </si>
  <si>
    <t>HU</t>
    <phoneticPr fontId="1"/>
  </si>
  <si>
    <t>CC</t>
    <phoneticPr fontId="1"/>
  </si>
  <si>
    <t>heats</t>
    <phoneticPr fontId="1"/>
  </si>
  <si>
    <t>総使用時間</t>
    <phoneticPr fontId="1"/>
  </si>
  <si>
    <t>Total Runtime</t>
    <phoneticPr fontId="1"/>
  </si>
  <si>
    <t>TRT</t>
    <phoneticPr fontId="1"/>
  </si>
  <si>
    <t>DDD</t>
    <phoneticPr fontId="1"/>
  </si>
  <si>
    <t>min</t>
    <phoneticPr fontId="1"/>
  </si>
  <si>
    <t>酸素洗浄時間</t>
    <rPh sb="0" eb="2">
      <t>サンソ</t>
    </rPh>
    <rPh sb="2" eb="4">
      <t>センジョウ</t>
    </rPh>
    <rPh sb="4" eb="6">
      <t>ジカン</t>
    </rPh>
    <phoneticPr fontId="1"/>
  </si>
  <si>
    <t>Oxygen Lancing Time</t>
    <phoneticPr fontId="1"/>
  </si>
  <si>
    <t>OLT</t>
    <phoneticPr fontId="1"/>
  </si>
  <si>
    <t>亀裂数</t>
    <rPh sb="2" eb="3">
      <t>スウ</t>
    </rPh>
    <phoneticPr fontId="1"/>
  </si>
  <si>
    <t>Cracks Count</t>
    <phoneticPr fontId="1"/>
  </si>
  <si>
    <t>Measured</t>
  </si>
  <si>
    <t>Visual Inspection</t>
  </si>
  <si>
    <t>摺動方向と直交する方向の使用後内径</t>
    <phoneticPr fontId="1"/>
  </si>
  <si>
    <t>Enlarged Bore Diameter(transverse)</t>
    <phoneticPr fontId="1"/>
  </si>
  <si>
    <t>Manual / Auto</t>
  </si>
  <si>
    <t>A</t>
    <phoneticPr fontId="1"/>
  </si>
  <si>
    <t>摺動面摺動方向使用後穴径</t>
    <phoneticPr fontId="1"/>
  </si>
  <si>
    <t>Enlarged Bore Diameter(sliding)</t>
    <phoneticPr fontId="1"/>
  </si>
  <si>
    <t>B</t>
    <phoneticPr fontId="1"/>
  </si>
  <si>
    <t>短端側エッジ損傷長さ</t>
    <phoneticPr fontId="1"/>
  </si>
  <si>
    <t>Short-end Edge Damage Length</t>
    <phoneticPr fontId="1"/>
  </si>
  <si>
    <t>SED</t>
    <phoneticPr fontId="1"/>
  </si>
  <si>
    <t>C</t>
    <phoneticPr fontId="1"/>
  </si>
  <si>
    <t>長端側エッジ損傷長さ</t>
    <phoneticPr fontId="1"/>
  </si>
  <si>
    <t>Long-end Edge Damage Length</t>
    <phoneticPr fontId="1"/>
  </si>
  <si>
    <t>LED</t>
    <phoneticPr fontId="1"/>
  </si>
  <si>
    <t>D</t>
    <phoneticPr fontId="1"/>
  </si>
  <si>
    <t>表面損傷長さ（損傷深さ 0.1 mm以上）</t>
    <phoneticPr fontId="1"/>
  </si>
  <si>
    <t>Long-end Surface Damage Length (damage depth ≥ 0.1 mm)</t>
    <phoneticPr fontId="1"/>
  </si>
  <si>
    <t>LSD</t>
    <phoneticPr fontId="1"/>
  </si>
  <si>
    <t>E</t>
    <phoneticPr fontId="1"/>
  </si>
  <si>
    <t>mm</t>
  </si>
  <si>
    <t>短端側端面から表面損傷境界までの距離（鋼帯を除く）</t>
    <phoneticPr fontId="1"/>
  </si>
  <si>
    <t>Distance from Plate Short-end to Long-end Surface-Damage
(steel band excluded)</t>
    <phoneticPr fontId="1"/>
  </si>
  <si>
    <t>PSEtLSD</t>
    <phoneticPr fontId="1"/>
  </si>
  <si>
    <t>F</t>
    <phoneticPr fontId="1"/>
  </si>
  <si>
    <t>エッジ損傷合計長さ（＝B＋C＋D）</t>
    <phoneticPr fontId="1"/>
  </si>
  <si>
    <t>Total Edge Damage Length (= B + C + D)</t>
    <phoneticPr fontId="1"/>
  </si>
  <si>
    <t>TED</t>
    <phoneticPr fontId="1"/>
  </si>
  <si>
    <t>G</t>
    <phoneticPr fontId="1"/>
  </si>
  <si>
    <t>非摺動面摺動方向使用後穴径</t>
    <rPh sb="8" eb="11">
      <t>シヨウゴ</t>
    </rPh>
    <rPh sb="11" eb="13">
      <t>アナケイ</t>
    </rPh>
    <phoneticPr fontId="1"/>
  </si>
  <si>
    <t>Bore Diameter After Use – Non-Sliding Face</t>
    <phoneticPr fontId="1"/>
  </si>
  <si>
    <t>Manual</t>
  </si>
  <si>
    <t>H</t>
    <phoneticPr fontId="1"/>
  </si>
  <si>
    <t>ネック部厚さ</t>
    <phoneticPr fontId="1"/>
  </si>
  <si>
    <t>Neck Thickness</t>
  </si>
  <si>
    <t>NT</t>
    <phoneticPr fontId="1"/>
  </si>
  <si>
    <t>I</t>
    <phoneticPr fontId="1"/>
  </si>
  <si>
    <t>使用後孔面積</t>
  </si>
  <si>
    <r>
      <t>Used Bore Area = π × r</t>
    </r>
    <r>
      <rPr>
        <sz val="12"/>
        <color theme="1"/>
        <rFont val="Arial"/>
        <family val="2"/>
        <charset val="1"/>
      </rPr>
      <t>ₓ</t>
    </r>
    <r>
      <rPr>
        <sz val="12"/>
        <color theme="1"/>
        <rFont val="ＭＳ Ｐゴシック"/>
        <family val="2"/>
        <scheme val="minor"/>
      </rPr>
      <t xml:space="preserve"> × rᵧ</t>
    </r>
    <phoneticPr fontId="1"/>
  </si>
  <si>
    <t>Image Model</t>
  </si>
  <si>
    <t>UBA</t>
  </si>
  <si>
    <t>J</t>
  </si>
  <si>
    <t>mm²</t>
  </si>
  <si>
    <t>使用後孔径拡大面積</t>
  </si>
  <si>
    <r>
      <t>Bore Enlargement Area = π × r</t>
    </r>
    <r>
      <rPr>
        <sz val="12"/>
        <color theme="1"/>
        <rFont val="Arial"/>
        <family val="2"/>
        <charset val="1"/>
      </rPr>
      <t>ₓ</t>
    </r>
    <r>
      <rPr>
        <sz val="12"/>
        <color theme="1"/>
        <rFont val="ＭＳ Ｐゴシック"/>
        <family val="2"/>
        <scheme val="minor"/>
      </rPr>
      <t xml:space="preserve"> × rᵧ − π × Y₀²</t>
    </r>
    <phoneticPr fontId="1"/>
  </si>
  <si>
    <t>BEA</t>
  </si>
  <si>
    <t>K</t>
  </si>
  <si>
    <t>孔周辺エッジ損傷面積</t>
  </si>
  <si>
    <t>Bore Edge Damage Area ≈ Edge Damage Area − Bore Enlargement Area</t>
    <phoneticPr fontId="1"/>
  </si>
  <si>
    <t>BEDA</t>
  </si>
  <si>
    <t>L</t>
  </si>
  <si>
    <t>孔面積拡大率</t>
  </si>
  <si>
    <t>Bore Area Enlargement Ratio = (Bore Enlargement Area / Original Bore Area) × 100%</t>
    <phoneticPr fontId="1"/>
  </si>
  <si>
    <t>BAER</t>
  </si>
  <si>
    <t>M</t>
  </si>
  <si>
    <t>%</t>
  </si>
  <si>
    <t>長端側損傷長さ</t>
    <phoneticPr fontId="1"/>
  </si>
  <si>
    <r>
      <t xml:space="preserve">Long-End Damage Length (= F − (W0 − X0 + Y0)) 
</t>
    </r>
    <r>
      <rPr>
        <i/>
        <sz val="12"/>
        <color theme="1"/>
        <rFont val="ＭＳ Ｐゴシック"/>
        <family val="3"/>
        <charset val="128"/>
        <scheme val="minor"/>
      </rPr>
      <t>as bore center not identifiable, F is utilized to get T</t>
    </r>
    <phoneticPr fontId="1"/>
  </si>
  <si>
    <t>LD</t>
    <phoneticPr fontId="1"/>
  </si>
  <si>
    <t>T</t>
    <phoneticPr fontId="1"/>
  </si>
  <si>
    <t>T_upper と T_lower の絶対差</t>
    <phoneticPr fontId="1"/>
  </si>
  <si>
    <t>Absolute Difference between T_upper and T_lower</t>
    <phoneticPr fontId="1"/>
  </si>
  <si>
    <t>ΔT</t>
  </si>
  <si>
    <t>残存ストローク</t>
    <rPh sb="0" eb="2">
      <t>ザンゾン</t>
    </rPh>
    <phoneticPr fontId="1"/>
  </si>
  <si>
    <r>
      <t>Remaining Stroke = Z0 - T_</t>
    </r>
    <r>
      <rPr>
        <sz val="12"/>
        <color theme="1"/>
        <rFont val="ＭＳ Ｐゴシック"/>
        <family val="3"/>
        <charset val="128"/>
        <scheme val="minor"/>
      </rPr>
      <t>uppe r</t>
    </r>
    <r>
      <rPr>
        <sz val="12"/>
        <color theme="1"/>
        <rFont val="ＭＳ Ｐゴシック"/>
        <family val="2"/>
        <scheme val="minor"/>
      </rPr>
      <t>- T_</t>
    </r>
    <r>
      <rPr>
        <sz val="12"/>
        <color theme="1"/>
        <rFont val="ＭＳ Ｐゴシック"/>
        <family val="3"/>
        <charset val="128"/>
        <scheme val="minor"/>
      </rPr>
      <t xml:space="preserve">lower </t>
    </r>
    <r>
      <rPr>
        <sz val="12"/>
        <color theme="1"/>
        <rFont val="ＭＳ Ｐゴシック"/>
        <family val="2"/>
        <scheme val="minor"/>
      </rPr>
      <t>- Y0*2</t>
    </r>
    <phoneticPr fontId="1"/>
  </si>
  <si>
    <t>RS</t>
    <phoneticPr fontId="1"/>
  </si>
  <si>
    <t>R</t>
    <phoneticPr fontId="1"/>
  </si>
  <si>
    <t>ストローク減少量</t>
    <phoneticPr fontId="1"/>
  </si>
  <si>
    <t>Deduction of Stroke = R0-R</t>
    <phoneticPr fontId="1"/>
  </si>
  <si>
    <t>△RS</t>
    <phoneticPr fontId="1"/>
  </si>
  <si>
    <t>残存ストローク比率</t>
    <rPh sb="7" eb="9">
      <t>ヒリツ</t>
    </rPh>
    <phoneticPr fontId="1"/>
  </si>
  <si>
    <t>Remaining Stroke in % = R / R0</t>
    <phoneticPr fontId="1"/>
  </si>
  <si>
    <t>RSR</t>
    <phoneticPr fontId="1"/>
  </si>
  <si>
    <t>%</t>
    <phoneticPr fontId="1"/>
  </si>
  <si>
    <t>1ヒート当たりの損耗量</t>
    <phoneticPr fontId="1"/>
  </si>
  <si>
    <t>Erosion per Heat = △R/(Heats Used)</t>
    <phoneticPr fontId="1"/>
  </si>
  <si>
    <t>EPH</t>
    <phoneticPr fontId="1"/>
  </si>
  <si>
    <t>mm/heat</t>
    <phoneticPr fontId="1"/>
  </si>
  <si>
    <t>損耗速度</t>
    <phoneticPr fontId="1"/>
  </si>
  <si>
    <t>Erosion Rate = △R/(Total Runtime)</t>
    <phoneticPr fontId="1"/>
  </si>
  <si>
    <t>ER</t>
    <phoneticPr fontId="1"/>
  </si>
  <si>
    <t>mm/min</t>
    <phoneticPr fontId="1"/>
  </si>
  <si>
    <t>Erosion Rate Score = (ER_limit − ER)/(ER_limit − ER_target)</t>
    <phoneticPr fontId="1"/>
  </si>
  <si>
    <t>ERS</t>
    <phoneticPr fontId="1"/>
  </si>
  <si>
    <t>Damage Balance Score = (1 - |T_upper - T_lower| / (T_upper+T_lower) )</t>
    <phoneticPr fontId="1"/>
  </si>
  <si>
    <t>WBS</t>
    <phoneticPr fontId="1"/>
  </si>
  <si>
    <t>Bore Expansion Score = 1 − (G_upper + G_lower)/2 / G_limit</t>
    <phoneticPr fontId="1"/>
  </si>
  <si>
    <t>BES</t>
    <phoneticPr fontId="1"/>
  </si>
  <si>
    <t>Over all performance index</t>
    <phoneticPr fontId="1"/>
  </si>
  <si>
    <t>PPI</t>
    <phoneticPr fontId="1"/>
  </si>
  <si>
    <t>N/A</t>
    <phoneticPr fontId="1"/>
  </si>
  <si>
    <t>Runtime SUM of All PLs Measured</t>
    <phoneticPr fontId="1"/>
  </si>
  <si>
    <t>Heats Used SUM of all PLs Measured</t>
    <phoneticPr fontId="1"/>
  </si>
  <si>
    <t>Erosion SUM of all PLs Measured</t>
    <phoneticPr fontId="1"/>
  </si>
  <si>
    <t>Average ER of all PLs Measured</t>
    <phoneticPr fontId="1"/>
  </si>
  <si>
    <t xml:space="preserve"> mm/min</t>
    <phoneticPr fontId="1"/>
  </si>
  <si>
    <t>Average EPH of all PLs Measure</t>
    <phoneticPr fontId="1"/>
  </si>
  <si>
    <t>Heats</t>
    <phoneticPr fontId="1"/>
  </si>
  <si>
    <t>T_upper</t>
    <phoneticPr fontId="1"/>
  </si>
  <si>
    <t>T_Lower</t>
    <phoneticPr fontId="1"/>
  </si>
  <si>
    <t>PL-001</t>
    <phoneticPr fontId="1"/>
  </si>
  <si>
    <t>PL-002</t>
  </si>
  <si>
    <t>PL-003</t>
  </si>
  <si>
    <t>PL-004</t>
  </si>
  <si>
    <t>PL-005</t>
  </si>
  <si>
    <t>PL-012</t>
    <phoneticPr fontId="1"/>
  </si>
  <si>
    <t>PL-013</t>
    <phoneticPr fontId="1"/>
  </si>
  <si>
    <t>PL-014</t>
    <phoneticPr fontId="1"/>
  </si>
  <si>
    <t>PL-017</t>
    <phoneticPr fontId="1"/>
  </si>
  <si>
    <t>PL-018</t>
  </si>
  <si>
    <t>PL-019</t>
  </si>
  <si>
    <t>PL-024</t>
    <phoneticPr fontId="1"/>
  </si>
  <si>
    <t>PL-030</t>
    <phoneticPr fontId="1"/>
  </si>
  <si>
    <t>PL-029</t>
    <phoneticPr fontId="1"/>
  </si>
  <si>
    <t>PL-033</t>
    <phoneticPr fontId="1"/>
  </si>
  <si>
    <t>Steel Composition</t>
    <phoneticPr fontId="1"/>
  </si>
  <si>
    <t xml:space="preserve">Campaign-Heat </t>
    <phoneticPr fontId="1"/>
  </si>
  <si>
    <t>UN-ID</t>
    <phoneticPr fontId="1"/>
  </si>
  <si>
    <t>Runtime</t>
    <phoneticPr fontId="1"/>
  </si>
  <si>
    <t>PL-ID</t>
    <phoneticPr fontId="1"/>
  </si>
  <si>
    <t>LN-ID</t>
    <phoneticPr fontId="1"/>
  </si>
  <si>
    <t>Duration</t>
    <phoneticPr fontId="1"/>
  </si>
  <si>
    <t>Mortar</t>
    <phoneticPr fontId="1"/>
  </si>
  <si>
    <t>Shift</t>
    <phoneticPr fontId="1"/>
  </si>
  <si>
    <t>Steel Grade</t>
  </si>
  <si>
    <t>Remark</t>
  </si>
  <si>
    <t>C(%)</t>
  </si>
  <si>
    <t>Si(%)</t>
  </si>
  <si>
    <t>Mn(%)</t>
  </si>
  <si>
    <t>Al(%)</t>
  </si>
  <si>
    <t>Cr(%)</t>
  </si>
  <si>
    <t>Ca(ppm)</t>
  </si>
  <si>
    <t>CMP01-HT001</t>
  </si>
  <si>
    <t>UN-001-01</t>
  </si>
  <si>
    <t>PL-001-01</t>
  </si>
  <si>
    <t>LN-001-1</t>
  </si>
  <si>
    <t>Shinagawa P6RSGS</t>
    <phoneticPr fontId="1"/>
  </si>
  <si>
    <t>LEGEND: (U/L)AA-BBB-CC(DDD)</t>
    <phoneticPr fontId="1"/>
  </si>
  <si>
    <t>CMP01-HT002</t>
  </si>
  <si>
    <t>UN-001-02</t>
  </si>
  <si>
    <t>PL-002-01</t>
  </si>
  <si>
    <t>LN-002-1</t>
  </si>
  <si>
    <t>-</t>
  </si>
  <si>
    <t>CMP01-HT003</t>
  </si>
  <si>
    <t>UN-001-03</t>
  </si>
  <si>
    <t>PLA-003-01</t>
    <phoneticPr fontId="1"/>
  </si>
  <si>
    <t>LN-003-1</t>
  </si>
  <si>
    <t>API</t>
    <phoneticPr fontId="1"/>
  </si>
  <si>
    <t>Infiltration between UN and PL</t>
    <phoneticPr fontId="1"/>
  </si>
  <si>
    <t>U/L : Upper / Lower</t>
    <phoneticPr fontId="1"/>
  </si>
  <si>
    <t>CMP01-HT004</t>
  </si>
  <si>
    <t>UN-001-04</t>
  </si>
  <si>
    <t>PL-004-01</t>
  </si>
  <si>
    <t>LN-004-1</t>
  </si>
  <si>
    <t>RHI-M Cr2O3</t>
    <phoneticPr fontId="1"/>
  </si>
  <si>
    <t>AA : Refractory Type</t>
  </si>
  <si>
    <t>CMP01-HT005</t>
  </si>
  <si>
    <t>UN-001-05</t>
  </si>
  <si>
    <t>PL-004-02</t>
  </si>
  <si>
    <t>LN-004-2</t>
  </si>
  <si>
    <t>N = Nozzle</t>
  </si>
  <si>
    <t>CMP01-HT006</t>
  </si>
  <si>
    <t>UN-001-06</t>
  </si>
  <si>
    <t>PL-005-01</t>
  </si>
  <si>
    <t>LN-005-1</t>
  </si>
  <si>
    <t>PL = Common Steel Plate</t>
  </si>
  <si>
    <t>CMP01-HT007</t>
  </si>
  <si>
    <t>UN-001-07</t>
  </si>
  <si>
    <t>PL-005-02</t>
  </si>
  <si>
    <t>LN-005-2</t>
  </si>
  <si>
    <t>PLA = API Steel Plate</t>
  </si>
  <si>
    <t>CMP01-HT008</t>
  </si>
  <si>
    <t>UN-001-08</t>
  </si>
  <si>
    <t>PL-005-03</t>
  </si>
  <si>
    <t>LN-005-3</t>
  </si>
  <si>
    <t>Shinagawa P6RSGS</t>
  </si>
  <si>
    <t>Bad UN surface</t>
    <phoneticPr fontId="1"/>
  </si>
  <si>
    <t>BBB : Refractory ID</t>
  </si>
  <si>
    <t>CMP01-HT009</t>
  </si>
  <si>
    <t>UN-002-01</t>
  </si>
  <si>
    <t>PL-006-01</t>
  </si>
  <si>
    <t>LN-006-1</t>
  </si>
  <si>
    <t>CC : Completed Heats</t>
  </si>
  <si>
    <t>CMP01-HT010</t>
  </si>
  <si>
    <t>UN-002-02</t>
  </si>
  <si>
    <t>PL-006-02</t>
  </si>
  <si>
    <t>LN-006-2</t>
  </si>
  <si>
    <t>DDD : Cumulative Runtime after CC Heats (min)</t>
  </si>
  <si>
    <t>CMP01-HT011</t>
  </si>
  <si>
    <t>UN-002-03</t>
  </si>
  <si>
    <t>PL-006-03</t>
  </si>
  <si>
    <t>LN-006-3</t>
  </si>
  <si>
    <t>CMP01-HT012</t>
  </si>
  <si>
    <t>UN-002-04</t>
  </si>
  <si>
    <t>PL-006-04</t>
  </si>
  <si>
    <t>LN-006-4</t>
  </si>
  <si>
    <t>CMP01-HT013</t>
  </si>
  <si>
    <t>UN-002-05</t>
  </si>
  <si>
    <t>PL-007-01</t>
  </si>
  <si>
    <t>LN-007-1</t>
  </si>
  <si>
    <t>CMP01-HT014</t>
  </si>
  <si>
    <t>UN-002-06</t>
  </si>
  <si>
    <t>PL-007-02</t>
  </si>
  <si>
    <t>LN-008-1</t>
  </si>
  <si>
    <t>SPECIAL</t>
    <phoneticPr fontId="1"/>
  </si>
  <si>
    <t>CMP01-HT015</t>
  </si>
  <si>
    <t>UN-002-07</t>
  </si>
  <si>
    <t>PL-007-03</t>
  </si>
  <si>
    <t>LN-008-2</t>
  </si>
  <si>
    <t>CMP01-HT016</t>
  </si>
  <si>
    <t>UN-002-08</t>
  </si>
  <si>
    <t>PL-007-04</t>
  </si>
  <si>
    <t>LN-008-3</t>
  </si>
  <si>
    <t>CMP01-HT017</t>
  </si>
  <si>
    <t>UN-002-09</t>
  </si>
  <si>
    <t>PL-008-01</t>
  </si>
  <si>
    <t>LN-009-1</t>
  </si>
  <si>
    <t>CMP01-HT018</t>
  </si>
  <si>
    <t>UN-002-10</t>
  </si>
  <si>
    <t>PL-008-02</t>
  </si>
  <si>
    <t>LN-009-2</t>
  </si>
  <si>
    <t>CMP01-HT019</t>
  </si>
  <si>
    <t>UN-002-11</t>
  </si>
  <si>
    <t>PL-008-03</t>
  </si>
  <si>
    <t>LN-009-3</t>
  </si>
  <si>
    <t>CMP01-HT020</t>
  </si>
  <si>
    <t>UN-002-12</t>
  </si>
  <si>
    <t>PL-008-04</t>
  </si>
  <si>
    <t>LN-009-4</t>
  </si>
  <si>
    <t>CMP01-HT021</t>
  </si>
  <si>
    <t>UN-002-13</t>
  </si>
  <si>
    <t>PL-008-05</t>
  </si>
  <si>
    <t>LN-010-1</t>
  </si>
  <si>
    <t>CMP01-HT022</t>
  </si>
  <si>
    <t>UN-002-14</t>
  </si>
  <si>
    <t>PL-009-01</t>
  </si>
  <si>
    <t>LN-011-1</t>
  </si>
  <si>
    <t>CMP01-HT023</t>
  </si>
  <si>
    <t>UN-002-15</t>
  </si>
  <si>
    <t>PL-009-02</t>
  </si>
  <si>
    <t>LN-011-2</t>
  </si>
  <si>
    <t>CMP01-HT024</t>
  </si>
  <si>
    <t>UN-002-16</t>
  </si>
  <si>
    <t>PL-009-03</t>
  </si>
  <si>
    <t>LN-012-1</t>
  </si>
  <si>
    <t>ultra-low-carbon</t>
    <phoneticPr fontId="1"/>
  </si>
  <si>
    <t>CMP01-HT025</t>
  </si>
  <si>
    <t>UN-002-17</t>
  </si>
  <si>
    <t>PL-009-04</t>
  </si>
  <si>
    <t>LN-012-2</t>
  </si>
  <si>
    <t>CMP01-HT026</t>
  </si>
  <si>
    <t>UN-002-18</t>
  </si>
  <si>
    <t>PL-009-05</t>
  </si>
  <si>
    <t>LN-012-3</t>
  </si>
  <si>
    <t>PL breakage, remaining sticked to UN</t>
    <phoneticPr fontId="1"/>
  </si>
  <si>
    <t>CMP01-HT027</t>
  </si>
  <si>
    <t>UN-003-01</t>
  </si>
  <si>
    <t>PL-010-01</t>
  </si>
  <si>
    <t>LN-013-1</t>
  </si>
  <si>
    <t>CMP01-HT028</t>
  </si>
  <si>
    <t>UN-003-02</t>
  </si>
  <si>
    <t>PL-010-02</t>
  </si>
  <si>
    <t>LN-014-1</t>
  </si>
  <si>
    <t>CMP01-HT029</t>
  </si>
  <si>
    <t>UN-003-03</t>
  </si>
  <si>
    <t>PL-010-03</t>
  </si>
  <si>
    <t>LN-015-1</t>
  </si>
  <si>
    <t>CMP01-HT030</t>
  </si>
  <si>
    <t>UN-003-04</t>
  </si>
  <si>
    <t>PL-010-04</t>
  </si>
  <si>
    <t>LN-016-1</t>
  </si>
  <si>
    <t>CMP01-HT031</t>
  </si>
  <si>
    <t>UN-003-05</t>
  </si>
  <si>
    <t>PL-010-05</t>
  </si>
  <si>
    <t>LN-016-2</t>
  </si>
  <si>
    <t>CMP01-HT032</t>
  </si>
  <si>
    <t>UN-003-06</t>
  </si>
  <si>
    <t>PL-011-01</t>
  </si>
  <si>
    <t>LN-017-1</t>
  </si>
  <si>
    <t>Common</t>
  </si>
  <si>
    <t>CMP01-HT033</t>
  </si>
  <si>
    <t>UN-003-07</t>
  </si>
  <si>
    <t>PL-011-02</t>
  </si>
  <si>
    <t>LN-018-1</t>
    <phoneticPr fontId="1"/>
  </si>
  <si>
    <t>CMP01-HT034</t>
  </si>
  <si>
    <t>UN-003-08</t>
  </si>
  <si>
    <t>PL-011-03</t>
  </si>
  <si>
    <t>LN-018-2</t>
    <phoneticPr fontId="1"/>
  </si>
  <si>
    <t>CMP01-HT035</t>
  </si>
  <si>
    <t>UN-003-09</t>
  </si>
  <si>
    <t>PL-011-04</t>
  </si>
  <si>
    <t>LN-018-3</t>
  </si>
  <si>
    <t>CMP01-HT036</t>
  </si>
  <si>
    <t>UN-003-10</t>
  </si>
  <si>
    <t>PL-011-05</t>
  </si>
  <si>
    <t>LN-018-4</t>
  </si>
  <si>
    <t>CMP01-HT037</t>
  </si>
  <si>
    <t>UN-003-11</t>
  </si>
  <si>
    <t>PL-012-01</t>
  </si>
  <si>
    <t>LN-019-1</t>
    <phoneticPr fontId="1"/>
  </si>
  <si>
    <t>RHI-M Cr2O3</t>
  </si>
  <si>
    <t>CMP01-HT038</t>
  </si>
  <si>
    <t>UN-003-12</t>
  </si>
  <si>
    <t>PL-012-02</t>
  </si>
  <si>
    <t>LN-019-2</t>
  </si>
  <si>
    <t>CMP01-HT039</t>
  </si>
  <si>
    <t>UN-003-13</t>
  </si>
  <si>
    <t>PL-012-03</t>
  </si>
  <si>
    <t>LN-019-3</t>
  </si>
  <si>
    <t>CMP01-HT040</t>
  </si>
  <si>
    <t>UN-003-14</t>
  </si>
  <si>
    <t>PL-012-04</t>
  </si>
  <si>
    <t>LN-019-4</t>
  </si>
  <si>
    <t>CMP01-HT041</t>
  </si>
  <si>
    <t>UN-003-15</t>
  </si>
  <si>
    <t>PL-012-05</t>
  </si>
  <si>
    <t>LN-019-5</t>
  </si>
  <si>
    <t>CMP01-HT042</t>
  </si>
  <si>
    <t>UN-003-16</t>
  </si>
  <si>
    <t>PL-012-06</t>
  </si>
  <si>
    <t>LN-019-6</t>
  </si>
  <si>
    <t>CMP01-HT043</t>
  </si>
  <si>
    <t>UN-004-01</t>
  </si>
  <si>
    <t>PL-013-01</t>
  </si>
  <si>
    <t>LN-020-1</t>
    <phoneticPr fontId="1"/>
  </si>
  <si>
    <t>CMP01-HT044</t>
  </si>
  <si>
    <t>UN-004-02</t>
  </si>
  <si>
    <t>PL-013-02</t>
  </si>
  <si>
    <t>LN-020-2</t>
  </si>
  <si>
    <t>CMP01-HT045</t>
  </si>
  <si>
    <t>UN-004-03</t>
  </si>
  <si>
    <t>PL-013-03</t>
  </si>
  <si>
    <t>LN-020-3</t>
  </si>
  <si>
    <t>CMP01-HT046</t>
  </si>
  <si>
    <t>UN-004-04</t>
  </si>
  <si>
    <t>PL-013-04</t>
  </si>
  <si>
    <t>LN-020-4</t>
  </si>
  <si>
    <t>CMP01-HT047</t>
  </si>
  <si>
    <t>UN-004-05</t>
  </si>
  <si>
    <t>PL-013-05</t>
  </si>
  <si>
    <t>LN-020-5</t>
  </si>
  <si>
    <t>CMP01-HT048</t>
  </si>
  <si>
    <t>UN-004-06</t>
  </si>
  <si>
    <t>PL-013-06</t>
  </si>
  <si>
    <t>LN-021-1</t>
    <phoneticPr fontId="1"/>
  </si>
  <si>
    <t>CMP01-HT049</t>
  </si>
  <si>
    <t>UN-004-07</t>
  </si>
  <si>
    <t>PL-014-01</t>
  </si>
  <si>
    <t>LN-022-1</t>
    <phoneticPr fontId="1"/>
  </si>
  <si>
    <t>CMP01-HT050</t>
  </si>
  <si>
    <t>UN-004-08</t>
  </si>
  <si>
    <t>PL-014-02</t>
  </si>
  <si>
    <t>LN-022-2</t>
  </si>
  <si>
    <t>CMP01-HT051</t>
  </si>
  <si>
    <t>UN-004-09</t>
  </si>
  <si>
    <t>PL-014-03</t>
  </si>
  <si>
    <t>LN-022-3</t>
  </si>
  <si>
    <t>CMP01-HT052</t>
  </si>
  <si>
    <t>UN-004-10</t>
  </si>
  <si>
    <t>PL-014-04</t>
  </si>
  <si>
    <t>LN-022-4</t>
  </si>
  <si>
    <t>CMP01-HT053</t>
  </si>
  <si>
    <t>UN-004-11</t>
  </si>
  <si>
    <t>PL-014-05</t>
  </si>
  <si>
    <t>LN-023-1</t>
    <phoneticPr fontId="1"/>
  </si>
  <si>
    <t>CMP01-HT054</t>
  </si>
  <si>
    <t>UN-004-12</t>
  </si>
  <si>
    <t>PL-014-06</t>
  </si>
  <si>
    <t>LN-023-2</t>
  </si>
  <si>
    <t>Minor filtration between UN and PL</t>
    <phoneticPr fontId="1"/>
  </si>
  <si>
    <t>CMP01-HT055</t>
  </si>
  <si>
    <t>UN-004-13</t>
  </si>
  <si>
    <t>PL-015-01</t>
  </si>
  <si>
    <t>LN-024-1</t>
    <phoneticPr fontId="1"/>
  </si>
  <si>
    <t>CMP01-HT056</t>
  </si>
  <si>
    <t>UN-004-14</t>
  </si>
  <si>
    <t>PL-015-02</t>
  </si>
  <si>
    <t>LN-024-2</t>
  </si>
  <si>
    <t>CMP01-HT057</t>
  </si>
  <si>
    <t>UN-004-15</t>
  </si>
  <si>
    <t>PL-015-03</t>
  </si>
  <si>
    <t>LN-024-3</t>
  </si>
  <si>
    <t>CMP01-HT058</t>
  </si>
  <si>
    <t>UN-004-16</t>
  </si>
  <si>
    <t>PL-015-04</t>
  </si>
  <si>
    <t>LN-024-4</t>
  </si>
  <si>
    <t>CMP01-HT059</t>
  </si>
  <si>
    <t>UN-004-17</t>
  </si>
  <si>
    <t>PL-015-05</t>
  </si>
  <si>
    <t>LN-025-1</t>
    <phoneticPr fontId="1"/>
  </si>
  <si>
    <t>CMP01-HT060</t>
  </si>
  <si>
    <t>UN-004-18</t>
  </si>
  <si>
    <t>PL-015-06</t>
  </si>
  <si>
    <t>LN-025-2</t>
    <phoneticPr fontId="1"/>
  </si>
  <si>
    <t>CMP01-HT061</t>
  </si>
  <si>
    <t>UN-005-01</t>
  </si>
  <si>
    <t>PLA-016-01</t>
    <phoneticPr fontId="1"/>
  </si>
  <si>
    <t>LN-026-01</t>
    <phoneticPr fontId="1"/>
  </si>
  <si>
    <t>CMP01-HT062</t>
  </si>
  <si>
    <t>UN-005-02</t>
  </si>
  <si>
    <t>PLA-016-02</t>
    <phoneticPr fontId="1"/>
  </si>
  <si>
    <t>LN-026-02</t>
    <phoneticPr fontId="1"/>
  </si>
  <si>
    <t>CMP01-HT063</t>
  </si>
  <si>
    <t>UN-005-03</t>
  </si>
  <si>
    <t>PL-017-01</t>
  </si>
  <si>
    <t>LN-027-01</t>
    <phoneticPr fontId="1"/>
  </si>
  <si>
    <t>CMP01-HT064</t>
  </si>
  <si>
    <t>UN-005-04</t>
  </si>
  <si>
    <t>PL-017-02</t>
  </si>
  <si>
    <t>LN-027-02</t>
  </si>
  <si>
    <t>CMP01-HT065</t>
  </si>
  <si>
    <t>UN-005-05</t>
  </si>
  <si>
    <t>PL-017-03</t>
  </si>
  <si>
    <t>LN-027-03</t>
  </si>
  <si>
    <t>CMP01-HT066</t>
  </si>
  <si>
    <t>UN-005-06</t>
    <phoneticPr fontId="1"/>
  </si>
  <si>
    <t>PL-017-04</t>
  </si>
  <si>
    <t>LN-028-01</t>
    <phoneticPr fontId="1"/>
  </si>
  <si>
    <t>Minor Air intake at PL</t>
    <phoneticPr fontId="1"/>
  </si>
  <si>
    <t>CMP01-HT067</t>
  </si>
  <si>
    <t>UN-005-07</t>
  </si>
  <si>
    <t>PL-017-05</t>
  </si>
  <si>
    <t>LN-028-02</t>
  </si>
  <si>
    <t>CMP01-HT068</t>
  </si>
  <si>
    <t>UN-005-08</t>
  </si>
  <si>
    <t>PL-017-06</t>
  </si>
  <si>
    <t>LN-028-03</t>
  </si>
  <si>
    <t>CMP01-HT069</t>
  </si>
  <si>
    <t>UN-005-09</t>
  </si>
  <si>
    <t>PLA-018-01</t>
    <phoneticPr fontId="1"/>
  </si>
  <si>
    <t>LN-029-01</t>
    <phoneticPr fontId="1"/>
  </si>
  <si>
    <t>CMP01-HT070</t>
  </si>
  <si>
    <t>UN-005-10</t>
  </si>
  <si>
    <t>PLA-018-02</t>
    <phoneticPr fontId="1"/>
  </si>
  <si>
    <t>LN-029-02</t>
  </si>
  <si>
    <t>CMP01-HT071</t>
  </si>
  <si>
    <t>UN-005-11</t>
  </si>
  <si>
    <t>PLA-018-03</t>
    <phoneticPr fontId="1"/>
  </si>
  <si>
    <t>LN-029-03</t>
  </si>
  <si>
    <t>Common</t>
    <phoneticPr fontId="1"/>
  </si>
  <si>
    <t>CMP01-HT072</t>
  </si>
  <si>
    <t>UN-006-01</t>
    <phoneticPr fontId="1"/>
  </si>
  <si>
    <t>PL-019-01</t>
    <phoneticPr fontId="1"/>
  </si>
  <si>
    <t>LN-030-01</t>
    <phoneticPr fontId="1"/>
  </si>
  <si>
    <t>CMP01-HT073</t>
  </si>
  <si>
    <t>UN-006-02</t>
  </si>
  <si>
    <t>PL-019-02</t>
  </si>
  <si>
    <t>LN-030-02</t>
  </si>
  <si>
    <t>CMP01-HT074</t>
  </si>
  <si>
    <t>UN-006-03</t>
  </si>
  <si>
    <t>PL-020-01</t>
    <phoneticPr fontId="1"/>
  </si>
  <si>
    <t>LN-031-01</t>
    <phoneticPr fontId="1"/>
  </si>
  <si>
    <t>CMP01-HT075</t>
  </si>
  <si>
    <t>UN-006-04</t>
  </si>
  <si>
    <t>PL-020-02</t>
  </si>
  <si>
    <t>LN-031-02</t>
  </si>
  <si>
    <t>CMP01-HT076</t>
  </si>
  <si>
    <t>UN-006-05</t>
  </si>
  <si>
    <t>PLA-021-01</t>
    <phoneticPr fontId="1"/>
  </si>
  <si>
    <t>LN-032-01</t>
    <phoneticPr fontId="1"/>
  </si>
  <si>
    <t>CMP01-HT077</t>
  </si>
  <si>
    <t>UN-006-06</t>
  </si>
  <si>
    <t>PLA-021-02</t>
    <phoneticPr fontId="1"/>
  </si>
  <si>
    <t>LN-032-02</t>
    <phoneticPr fontId="1"/>
  </si>
  <si>
    <t>CMP01-HT078</t>
  </si>
  <si>
    <t>UN-006-07</t>
  </si>
  <si>
    <t>PLA-022-01</t>
    <phoneticPr fontId="1"/>
  </si>
  <si>
    <t>LN-033-01</t>
    <phoneticPr fontId="1"/>
  </si>
  <si>
    <t>CMP01-HT079</t>
  </si>
  <si>
    <t>UN-006-08</t>
  </si>
  <si>
    <t>PLA-022-02</t>
    <phoneticPr fontId="1"/>
  </si>
  <si>
    <t>LN-033-02</t>
    <phoneticPr fontId="1"/>
  </si>
  <si>
    <t>CMP01-HT080</t>
  </si>
  <si>
    <t>UN-006-09</t>
  </si>
  <si>
    <t>PLA-022-03</t>
    <phoneticPr fontId="1"/>
  </si>
  <si>
    <t>LN-033-03</t>
    <phoneticPr fontId="1"/>
  </si>
  <si>
    <t>CMP01-HT081</t>
  </si>
  <si>
    <t>UN-006-10</t>
  </si>
  <si>
    <t>PL-023-01</t>
    <phoneticPr fontId="1"/>
  </si>
  <si>
    <t>LN-034-01</t>
    <phoneticPr fontId="1"/>
  </si>
  <si>
    <t>CMP01-HT082</t>
  </si>
  <si>
    <t>UN-006-11</t>
  </si>
  <si>
    <t>PL-023-02</t>
    <phoneticPr fontId="1"/>
  </si>
  <si>
    <t>LN-034-02</t>
    <phoneticPr fontId="1"/>
  </si>
  <si>
    <t>CMP01-HT083</t>
  </si>
  <si>
    <t>Life 83 - The heat broke through lining, so did nt cast (full return)</t>
    <phoneticPr fontId="1"/>
  </si>
  <si>
    <t>CMP01-HT084</t>
  </si>
  <si>
    <t>UN-006-12</t>
  </si>
  <si>
    <t>PL-023-03</t>
    <phoneticPr fontId="1"/>
  </si>
  <si>
    <t>LN-034-03</t>
    <phoneticPr fontId="1"/>
  </si>
  <si>
    <t>CMP01-HT085</t>
  </si>
  <si>
    <t>UN-006-13</t>
  </si>
  <si>
    <t>PLA-024-01</t>
    <phoneticPr fontId="1"/>
  </si>
  <si>
    <t>LN-035-01</t>
    <phoneticPr fontId="1"/>
  </si>
  <si>
    <t>CMP01-HT086</t>
  </si>
  <si>
    <t>UN-006-14</t>
  </si>
  <si>
    <t>PLA-024-02</t>
    <phoneticPr fontId="1"/>
  </si>
  <si>
    <t>LN-035-02</t>
    <phoneticPr fontId="1"/>
  </si>
  <si>
    <t>CMP01-HT087</t>
  </si>
  <si>
    <t>UN-006-15</t>
  </si>
  <si>
    <t>PLA-024-03</t>
    <phoneticPr fontId="1"/>
  </si>
  <si>
    <t>LN-035-03</t>
    <phoneticPr fontId="1"/>
  </si>
  <si>
    <t>CMP01-HT088</t>
  </si>
  <si>
    <t>UN-007-01</t>
    <phoneticPr fontId="1"/>
  </si>
  <si>
    <t>PL-025-01</t>
    <phoneticPr fontId="1"/>
  </si>
  <si>
    <t>LN-036-01</t>
    <phoneticPr fontId="1"/>
  </si>
  <si>
    <t>Sequence cut on machine, external valve obstruction</t>
    <phoneticPr fontId="1"/>
  </si>
  <si>
    <t>CMP01-HT089</t>
  </si>
  <si>
    <t>UN-007-02</t>
  </si>
  <si>
    <t>PL-026-01</t>
    <phoneticPr fontId="1"/>
  </si>
  <si>
    <t>LN-037-01</t>
    <phoneticPr fontId="1"/>
  </si>
  <si>
    <t>Wrench torque adjusted to 50N*m</t>
    <phoneticPr fontId="1"/>
  </si>
  <si>
    <t>CMP01-HT090</t>
  </si>
  <si>
    <t>UN-007-03</t>
  </si>
  <si>
    <t>PL-026-02</t>
  </si>
  <si>
    <t>LN-037-02</t>
  </si>
  <si>
    <t>CMP01-HT091</t>
  </si>
  <si>
    <t>UN-007-04</t>
  </si>
  <si>
    <t>PL-026-03</t>
  </si>
  <si>
    <t>LN-037-03</t>
  </si>
  <si>
    <t>CMP01-HT092</t>
  </si>
  <si>
    <t>UN-007-05</t>
  </si>
  <si>
    <t>PL-026-04</t>
  </si>
  <si>
    <t>LN-037-04</t>
  </si>
  <si>
    <t>CMP01-HT093</t>
  </si>
  <si>
    <t>UN-007-06</t>
  </si>
  <si>
    <t>PL-026-05</t>
  </si>
  <si>
    <t>LN-037-05</t>
  </si>
  <si>
    <t>CMP01-HT094</t>
  </si>
  <si>
    <t>UN-007-07</t>
  </si>
  <si>
    <t>PL-026-06</t>
  </si>
  <si>
    <t>LN-037-06</t>
  </si>
  <si>
    <t>CMP01-HT095</t>
  </si>
  <si>
    <t>UN-007-08</t>
  </si>
  <si>
    <t>PLA-027-01</t>
    <phoneticPr fontId="1"/>
  </si>
  <si>
    <t>LN-038-01</t>
    <phoneticPr fontId="1"/>
  </si>
  <si>
    <t>CMP01-HT096</t>
  </si>
  <si>
    <t>UN-008-01</t>
    <phoneticPr fontId="1"/>
  </si>
  <si>
    <t>PL-028-01</t>
    <phoneticPr fontId="1"/>
  </si>
  <si>
    <t>LN-039-01</t>
  </si>
  <si>
    <t>Oxygen cleaning miss causes heat insulation panel damage</t>
    <phoneticPr fontId="1"/>
  </si>
  <si>
    <t>CMP01-HT097</t>
  </si>
  <si>
    <t>UN-008-02</t>
  </si>
  <si>
    <t>PL-028-02</t>
  </si>
  <si>
    <t>LN-039-02</t>
  </si>
  <si>
    <t>CMP01-HT098</t>
  </si>
  <si>
    <t>UN-008-03</t>
  </si>
  <si>
    <t>PL-028-03</t>
  </si>
  <si>
    <t>LN-039-03</t>
  </si>
  <si>
    <t>CMP01-HT099</t>
  </si>
  <si>
    <t>UN-008-04</t>
  </si>
  <si>
    <t>PL-028-04</t>
  </si>
  <si>
    <t>LN-040-01</t>
  </si>
  <si>
    <t>CMP01-HT100</t>
  </si>
  <si>
    <t>UN-008-05</t>
  </si>
  <si>
    <t>PL-028-05</t>
  </si>
  <si>
    <t>LN-040-02</t>
  </si>
  <si>
    <t>CMP01-HT101</t>
  </si>
  <si>
    <t>UN-008-06</t>
  </si>
  <si>
    <t>PL-028-06</t>
  </si>
  <si>
    <t>LN-040-03</t>
  </si>
  <si>
    <t>CMP01-HT102</t>
  </si>
  <si>
    <t>UN-008-07</t>
  </si>
  <si>
    <t>PL-029-01</t>
    <phoneticPr fontId="1"/>
  </si>
  <si>
    <t>LN-041-01</t>
  </si>
  <si>
    <t>CMP01-HT103</t>
  </si>
  <si>
    <t>UN-008-08</t>
  </si>
  <si>
    <t>PL-029-02</t>
  </si>
  <si>
    <t>LN-041-02</t>
  </si>
  <si>
    <t>CMP01-HT104</t>
  </si>
  <si>
    <t>UN-008-09</t>
  </si>
  <si>
    <t>PL-029-03</t>
  </si>
  <si>
    <t>LN-041-03</t>
  </si>
  <si>
    <t>CMP01-HT105</t>
  </si>
  <si>
    <t>UN-008-10</t>
  </si>
  <si>
    <t>PL-029-04</t>
  </si>
  <si>
    <t>LN-041-04</t>
  </si>
  <si>
    <t>CMP01-HT106</t>
  </si>
  <si>
    <t>UN-008-11</t>
  </si>
  <si>
    <t>PLA-030-01</t>
    <phoneticPr fontId="1"/>
  </si>
  <si>
    <t>LN-042-01</t>
  </si>
  <si>
    <t>CMP01-HT107</t>
  </si>
  <si>
    <t>UN-008-12</t>
  </si>
  <si>
    <t>PLA-030-02</t>
    <phoneticPr fontId="1"/>
  </si>
  <si>
    <t>LN-042-02</t>
  </si>
  <si>
    <t>CMP01-HT108</t>
  </si>
  <si>
    <t>UN-008-13</t>
  </si>
  <si>
    <t>PLA-030-03</t>
    <phoneticPr fontId="1"/>
  </si>
  <si>
    <t>LN-042-03</t>
  </si>
  <si>
    <t>Filtration between UN and PL</t>
    <phoneticPr fontId="1"/>
  </si>
  <si>
    <t>CMP01-HT109</t>
  </si>
  <si>
    <t>UN-008-14</t>
  </si>
  <si>
    <t>PL-031-01</t>
    <phoneticPr fontId="1"/>
  </si>
  <si>
    <t>LN-043-01</t>
  </si>
  <si>
    <t>CMP01-HT110</t>
  </si>
  <si>
    <t>UN-008-15</t>
  </si>
  <si>
    <t>PL-031-02</t>
  </si>
  <si>
    <t>LN-043-02</t>
  </si>
  <si>
    <t>CMP01-HT111</t>
  </si>
  <si>
    <t>UN-008-16</t>
  </si>
  <si>
    <t>PL-031-03</t>
  </si>
  <si>
    <t>LN-043-03</t>
  </si>
  <si>
    <t>CMP01-HT112</t>
  </si>
  <si>
    <t>UN-008-17</t>
  </si>
  <si>
    <t>PL-031-04</t>
  </si>
  <si>
    <t>LN-043-04</t>
  </si>
  <si>
    <t>CMP01-HT113</t>
  </si>
  <si>
    <t>UN-008-18</t>
  </si>
  <si>
    <t>PL-031-05</t>
  </si>
  <si>
    <t>LN-043-05</t>
  </si>
  <si>
    <t>CMP01-HT114</t>
  </si>
  <si>
    <t>UN-008-19</t>
  </si>
  <si>
    <t>PL-031-06</t>
  </si>
  <si>
    <t>LN-043-06</t>
  </si>
  <si>
    <t>CMP01-HT115</t>
  </si>
  <si>
    <t>UN-009-01</t>
    <phoneticPr fontId="1"/>
  </si>
  <si>
    <t>PL-032-01</t>
    <phoneticPr fontId="1"/>
  </si>
  <si>
    <t>LN-044-01</t>
  </si>
  <si>
    <t>CMP01-HT116</t>
  </si>
  <si>
    <t>UN-009-02</t>
  </si>
  <si>
    <t>PL-032-02</t>
  </si>
  <si>
    <t>LN-044-02</t>
  </si>
  <si>
    <t>CMP01-HT117</t>
  </si>
  <si>
    <t>UN-009-03</t>
  </si>
  <si>
    <t>PL-032-03</t>
  </si>
  <si>
    <t>LN-044-03</t>
  </si>
  <si>
    <t>CMP01-HT118</t>
  </si>
  <si>
    <t>UN-009-04</t>
  </si>
  <si>
    <t>PL-032-04</t>
  </si>
  <si>
    <t>LN-045-01</t>
  </si>
  <si>
    <t>CMP01-HT119</t>
  </si>
  <si>
    <t>UN-009-05</t>
  </si>
  <si>
    <t>PL-032-05</t>
  </si>
  <si>
    <t>LN-045-02</t>
  </si>
  <si>
    <t>CMP01-HT120</t>
  </si>
  <si>
    <t>UN-009-06</t>
  </si>
  <si>
    <t>PL-032-06</t>
  </si>
  <si>
    <t>LN-046-01</t>
  </si>
  <si>
    <t>Ladle remake ahead of schedule due to reduction of Wall block thickness</t>
    <phoneticPr fontId="1"/>
  </si>
  <si>
    <t>CMP01-HT121</t>
  </si>
  <si>
    <t>UN-010-01</t>
    <phoneticPr fontId="1"/>
  </si>
  <si>
    <t>PL-033-01</t>
    <phoneticPr fontId="1"/>
  </si>
  <si>
    <t>LN-047-01</t>
  </si>
  <si>
    <t>CMP01-HT122</t>
  </si>
  <si>
    <t>UN-010-02</t>
  </si>
  <si>
    <t>PL-033-02</t>
  </si>
  <si>
    <t>LN-047-02</t>
  </si>
  <si>
    <t>CMP01-HT123</t>
  </si>
  <si>
    <t>UN-010-03</t>
  </si>
  <si>
    <t>PL-033-03</t>
  </si>
  <si>
    <t>LN-047-03</t>
  </si>
  <si>
    <t>CMP01-HT124</t>
  </si>
  <si>
    <t>UN-010-04</t>
  </si>
  <si>
    <t>PL-033-04</t>
  </si>
  <si>
    <t>LN-047-04</t>
  </si>
  <si>
    <t>CMP01-HT125</t>
  </si>
  <si>
    <t>UN-010-05</t>
  </si>
  <si>
    <t>PL-033-05</t>
  </si>
  <si>
    <t>LN-047-05</t>
  </si>
  <si>
    <t>CMP01-HT126</t>
  </si>
  <si>
    <t>UN-010-06</t>
  </si>
  <si>
    <t>PL-033-06</t>
  </si>
  <si>
    <t>LN-047-06</t>
  </si>
  <si>
    <t>Filtration between UN and PL; steel is found both inside and outside of mortar</t>
    <phoneticPr fontId="1"/>
  </si>
  <si>
    <t>CMP01-HT127</t>
  </si>
  <si>
    <t>UN-011-01</t>
    <phoneticPr fontId="1"/>
  </si>
  <si>
    <t>PL-034-01</t>
    <phoneticPr fontId="1"/>
  </si>
  <si>
    <t>LN-048-01</t>
  </si>
  <si>
    <t>CMP01-HT128</t>
  </si>
  <si>
    <t>UN-011-02</t>
  </si>
  <si>
    <t>PL-034-02</t>
  </si>
  <si>
    <t>LN-048-02</t>
  </si>
  <si>
    <t>CMP01-HT129</t>
  </si>
  <si>
    <t>UN-011-03</t>
  </si>
  <si>
    <t>PL-034-03</t>
  </si>
  <si>
    <t>LN-049-01</t>
  </si>
  <si>
    <t>CMP01-HT130</t>
  </si>
  <si>
    <t>UN-011-04</t>
  </si>
  <si>
    <t>PL-034-04</t>
  </si>
  <si>
    <t>LN-049-02</t>
  </si>
  <si>
    <t>CMP01-HT131</t>
  </si>
  <si>
    <t>UN-011-05</t>
  </si>
  <si>
    <t>PL-034-05</t>
  </si>
  <si>
    <t>LN-049-03</t>
  </si>
  <si>
    <t>CMP01-HT132</t>
  </si>
  <si>
    <t>UN-011-06</t>
  </si>
  <si>
    <t>PL-034-06</t>
  </si>
  <si>
    <t>LN-049-04</t>
  </si>
  <si>
    <t>CMP01-HT133</t>
  </si>
  <si>
    <t>UN-011-07</t>
  </si>
  <si>
    <t>PL-035-01</t>
    <phoneticPr fontId="1"/>
  </si>
  <si>
    <t>LN-050-01</t>
  </si>
  <si>
    <t>CMP01-HT134</t>
  </si>
  <si>
    <t>UN-011-08</t>
  </si>
  <si>
    <t>PL-035-02</t>
  </si>
  <si>
    <t>LN-050-02</t>
  </si>
  <si>
    <t>1st Campaign</t>
    <phoneticPr fontId="1"/>
  </si>
  <si>
    <t>ends at</t>
    <phoneticPr fontId="1"/>
  </si>
  <si>
    <t>CMP01-HT135</t>
  </si>
  <si>
    <t>UN-011-09</t>
  </si>
  <si>
    <t>PL-035-03</t>
  </si>
  <si>
    <t>LN-050-03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</si>
</sst>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_);[Red]\(0\)"/>
    <numFmt numFmtId="178" formatCode="0.0"/>
    <numFmt numFmtId="179" formatCode="0.0000"/>
  </numFmts>
  <fonts count="3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Carlito"/>
    </font>
    <font>
      <b/>
      <sz val="16"/>
      <color rgb="FF243447"/>
      <name val="Arial"/>
      <family val="2"/>
    </font>
    <font>
      <b/>
      <sz val="11"/>
      <color rgb="FF000000"/>
      <name val="Carlito"/>
    </font>
    <font>
      <sz val="10"/>
      <color rgb="FF000000"/>
      <name val="Carlito"/>
    </font>
    <font>
      <b/>
      <sz val="10"/>
      <color rgb="FF111111"/>
      <name val="Carlito"/>
    </font>
    <font>
      <b/>
      <sz val="14"/>
      <color rgb="FFFF0000"/>
      <name val="Carlito"/>
    </font>
    <font>
      <b/>
      <sz val="14"/>
      <color rgb="FF1F62E6"/>
      <name val="Carlito"/>
    </font>
    <font>
      <b/>
      <i/>
      <sz val="12"/>
      <color theme="1"/>
      <name val="ＭＳ Ｐゴシック"/>
      <family val="3"/>
      <charset val="128"/>
      <scheme val="minor"/>
    </font>
    <font>
      <b/>
      <sz val="14"/>
      <color rgb="FF00A000"/>
      <name val="Carlito"/>
    </font>
    <font>
      <sz val="12"/>
      <color theme="1"/>
      <name val="ＭＳ Ｐゴシック"/>
      <family val="3"/>
      <charset val="128"/>
      <scheme val="minor"/>
    </font>
    <font>
      <b/>
      <sz val="14"/>
      <color rgb="FFFF9900"/>
      <name val="Carlito"/>
    </font>
    <font>
      <b/>
      <sz val="12"/>
      <color theme="1"/>
      <name val="ＭＳ Ｐゴシック"/>
      <family val="3"/>
      <charset val="128"/>
      <scheme val="minor"/>
    </font>
    <font>
      <b/>
      <sz val="14"/>
      <color rgb="FF8A2BE2"/>
      <name val="Carlito"/>
    </font>
    <font>
      <b/>
      <sz val="14"/>
      <color rgb="FF18A118"/>
      <name val="Carlito"/>
    </font>
    <font>
      <b/>
      <sz val="14"/>
      <color rgb="FF555555"/>
      <name val="Carlito"/>
    </font>
    <font>
      <sz val="10"/>
      <color rgb="FF000000"/>
      <name val="Carlito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Carlito"/>
      <family val="2"/>
      <charset val="128"/>
    </font>
    <font>
      <b/>
      <sz val="14"/>
      <color rgb="FFE600B8"/>
      <name val="Carlito"/>
    </font>
    <font>
      <b/>
      <sz val="14"/>
      <color rgb="FFD96C00"/>
      <name val="Carlito"/>
    </font>
    <font>
      <b/>
      <sz val="14"/>
      <color rgb="FF00A6D9"/>
      <name val="Carlito"/>
    </font>
    <font>
      <b/>
      <sz val="14"/>
      <color rgb="FFFF6A00"/>
      <name val="Carlito"/>
    </font>
    <font>
      <sz val="12"/>
      <color theme="1"/>
      <name val="ＭＳ Ｐゴシック"/>
      <family val="2"/>
      <scheme val="minor"/>
    </font>
    <font>
      <sz val="10"/>
      <name val="Arial"/>
      <family val="2"/>
    </font>
    <font>
      <sz val="12"/>
      <name val="ＭＳ Ｐゴシック"/>
      <family val="3"/>
      <charset val="128"/>
      <scheme val="minor"/>
    </font>
    <font>
      <sz val="12"/>
      <name val="ＭＳ Ｐゴシック"/>
      <family val="2"/>
      <scheme val="minor"/>
    </font>
    <font>
      <sz val="12"/>
      <color theme="1"/>
      <name val="Arial"/>
      <family val="2"/>
      <charset val="1"/>
    </font>
    <font>
      <i/>
      <sz val="12"/>
      <color theme="1"/>
      <name val="ＭＳ Ｐゴシック"/>
      <family val="3"/>
      <charset val="128"/>
      <scheme val="minor"/>
    </font>
    <font>
      <sz val="12"/>
      <color theme="0" tint="-0.34998626667073579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rgb="FF242424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E6E6"/>
      </patternFill>
    </fill>
    <fill>
      <patternFill patternType="solid">
        <fgColor rgb="FFEAF2FF"/>
      </patternFill>
    </fill>
    <fill>
      <patternFill patternType="solid">
        <fgColor rgb="FFE9FFE9"/>
      </patternFill>
    </fill>
    <fill>
      <patternFill patternType="solid">
        <fgColor rgb="FFFFF6D9"/>
      </patternFill>
    </fill>
    <fill>
      <patternFill patternType="solid">
        <fgColor rgb="FFF3E6FF"/>
      </patternFill>
    </fill>
    <fill>
      <patternFill patternType="solid">
        <fgColor rgb="FF92D050"/>
        <bgColor indexed="64"/>
      </patternFill>
    </fill>
    <fill>
      <patternFill patternType="solid">
        <fgColor rgb="FFEFEFEF"/>
      </patternFill>
    </fill>
    <fill>
      <patternFill patternType="solid">
        <fgColor rgb="FFFFE6FA"/>
      </patternFill>
    </fill>
    <fill>
      <patternFill patternType="solid">
        <fgColor rgb="FFFFF1E4"/>
      </patternFill>
    </fill>
    <fill>
      <patternFill patternType="solid">
        <fgColor rgb="FFE6F8FF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6" fillId="0" borderId="0"/>
  </cellStyleXfs>
  <cellXfs count="1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5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5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7" borderId="5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9" xfId="0" applyFont="1" applyBorder="1"/>
    <xf numFmtId="0" fontId="14" fillId="8" borderId="5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6" fontId="11" fillId="0" borderId="11" xfId="0" applyNumberFormat="1" applyFont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/>
    </xf>
    <xf numFmtId="0" fontId="21" fillId="11" borderId="5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/>
    </xf>
    <xf numFmtId="0" fontId="0" fillId="0" borderId="16" xfId="0" applyBorder="1"/>
    <xf numFmtId="0" fontId="17" fillId="3" borderId="16" xfId="0" applyFont="1" applyFill="1" applyBorder="1" applyAlignment="1">
      <alignment horizontal="left" vertical="center"/>
    </xf>
    <xf numFmtId="0" fontId="0" fillId="0" borderId="17" xfId="0" applyBorder="1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25" fillId="0" borderId="5" xfId="0" applyFont="1" applyBorder="1" applyAlignment="1">
      <alignment horizontal="center" vertical="center"/>
    </xf>
    <xf numFmtId="0" fontId="27" fillId="0" borderId="5" xfId="2" applyFont="1" applyBorder="1" applyAlignment="1">
      <alignment horizontal="center" vertical="center"/>
    </xf>
    <xf numFmtId="0" fontId="27" fillId="0" borderId="6" xfId="2" applyFont="1" applyBorder="1" applyAlignment="1">
      <alignment horizontal="center" vertical="center"/>
    </xf>
    <xf numFmtId="0" fontId="25" fillId="0" borderId="5" xfId="0" applyFont="1" applyBorder="1" applyAlignment="1">
      <alignment horizontal="left" vertical="center"/>
    </xf>
    <xf numFmtId="0" fontId="28" fillId="0" borderId="5" xfId="2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8" fillId="14" borderId="5" xfId="2" applyFont="1" applyFill="1" applyBorder="1" applyAlignment="1">
      <alignment horizontal="center" vertical="center"/>
    </xf>
    <xf numFmtId="0" fontId="25" fillId="15" borderId="4" xfId="0" applyFont="1" applyFill="1" applyBorder="1" applyAlignment="1">
      <alignment horizontal="left" vertical="center"/>
    </xf>
    <xf numFmtId="0" fontId="25" fillId="15" borderId="5" xfId="0" applyFont="1" applyFill="1" applyBorder="1" applyAlignment="1">
      <alignment horizontal="left" vertical="center"/>
    </xf>
    <xf numFmtId="0" fontId="25" fillId="15" borderId="21" xfId="0" applyFont="1" applyFill="1" applyBorder="1" applyAlignment="1">
      <alignment horizontal="center" vertical="center"/>
    </xf>
    <xf numFmtId="0" fontId="25" fillId="15" borderId="5" xfId="0" applyFont="1" applyFill="1" applyBorder="1" applyAlignment="1">
      <alignment horizontal="center" vertical="center"/>
    </xf>
    <xf numFmtId="0" fontId="28" fillId="15" borderId="5" xfId="2" applyFont="1" applyFill="1" applyBorder="1" applyAlignment="1">
      <alignment horizontal="center" vertical="center"/>
    </xf>
    <xf numFmtId="177" fontId="25" fillId="0" borderId="6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5" xfId="0" applyFont="1" applyBorder="1" applyAlignment="1">
      <alignment horizontal="center" vertical="center" wrapText="1"/>
    </xf>
    <xf numFmtId="1" fontId="25" fillId="0" borderId="5" xfId="0" applyNumberFormat="1" applyFont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2" fontId="25" fillId="0" borderId="5" xfId="0" applyNumberFormat="1" applyFont="1" applyBorder="1" applyAlignment="1">
      <alignment horizontal="center" vertical="center"/>
    </xf>
    <xf numFmtId="2" fontId="25" fillId="0" borderId="6" xfId="0" applyNumberFormat="1" applyFont="1" applyBorder="1" applyAlignment="1">
      <alignment horizontal="center" vertical="center"/>
    </xf>
    <xf numFmtId="2" fontId="25" fillId="0" borderId="5" xfId="0" applyNumberFormat="1" applyFont="1" applyBorder="1" applyAlignment="1">
      <alignment horizontal="center" vertical="center"/>
    </xf>
    <xf numFmtId="2" fontId="25" fillId="0" borderId="6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horizontal="center" vertical="center"/>
    </xf>
    <xf numFmtId="1" fontId="31" fillId="0" borderId="5" xfId="0" applyNumberFormat="1" applyFont="1" applyBorder="1" applyAlignment="1">
      <alignment horizontal="center" vertical="center"/>
    </xf>
    <xf numFmtId="1" fontId="31" fillId="0" borderId="6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5" xfId="0" applyFont="1" applyBorder="1" applyAlignment="1">
      <alignment horizontal="center" vertical="center" wrapText="1"/>
    </xf>
    <xf numFmtId="177" fontId="31" fillId="0" borderId="5" xfId="0" applyNumberFormat="1" applyFont="1" applyBorder="1" applyAlignment="1">
      <alignment horizontal="center" vertical="center"/>
    </xf>
    <xf numFmtId="177" fontId="31" fillId="0" borderId="6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1" fillId="0" borderId="16" xfId="0" applyFont="1" applyBorder="1" applyAlignment="1">
      <alignment horizontal="left" vertical="center"/>
    </xf>
    <xf numFmtId="0" fontId="31" fillId="0" borderId="16" xfId="0" applyFont="1" applyBorder="1" applyAlignment="1">
      <alignment horizontal="center" vertical="center"/>
    </xf>
    <xf numFmtId="1" fontId="31" fillId="0" borderId="16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32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Border="1" applyAlignment="1">
      <alignment horizontal="right" vertical="center" wrapText="1"/>
    </xf>
    <xf numFmtId="2" fontId="0" fillId="16" borderId="6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center" vertical="center"/>
    </xf>
    <xf numFmtId="178" fontId="0" fillId="16" borderId="17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3" fillId="0" borderId="22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0" fillId="17" borderId="2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179" fontId="0" fillId="0" borderId="21" xfId="0" applyNumberFormat="1" applyBorder="1" applyAlignment="1">
      <alignment horizontal="center" vertical="center"/>
    </xf>
    <xf numFmtId="0" fontId="33" fillId="0" borderId="0" xfId="0" applyFont="1"/>
    <xf numFmtId="0" fontId="32" fillId="0" borderId="5" xfId="0" applyFont="1" applyBorder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79" fontId="0" fillId="0" borderId="5" xfId="0" applyNumberFormat="1" applyBorder="1" applyAlignment="1">
      <alignment horizontal="center" vertic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3" borderId="5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0" fillId="26" borderId="5" xfId="0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15" borderId="5" xfId="0" applyFill="1" applyBorder="1" applyAlignment="1">
      <alignment horizontal="center"/>
    </xf>
    <xf numFmtId="0" fontId="34" fillId="0" borderId="0" xfId="0" applyFont="1"/>
    <xf numFmtId="0" fontId="0" fillId="27" borderId="5" xfId="0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9" borderId="5" xfId="0" applyFill="1" applyBorder="1" applyAlignment="1">
      <alignment horizontal="center"/>
    </xf>
    <xf numFmtId="0" fontId="0" fillId="30" borderId="5" xfId="0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31" borderId="5" xfId="0" applyFill="1" applyBorder="1" applyAlignment="1">
      <alignment horizontal="center"/>
    </xf>
    <xf numFmtId="0" fontId="0" fillId="31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5" borderId="18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32" borderId="5" xfId="0" applyFill="1" applyBorder="1" applyAlignment="1">
      <alignment horizontal="center"/>
    </xf>
    <xf numFmtId="0" fontId="0" fillId="33" borderId="5" xfId="0" applyFill="1" applyBorder="1" applyAlignment="1">
      <alignment horizontal="center"/>
    </xf>
  </cellXfs>
  <cellStyles count="3">
    <cellStyle name="Normal" xfId="0" builtinId="0"/>
    <cellStyle name="Normal 2" xfId="2" xr:uid="{44B1E2DD-C32D-4F88-B94A-0164D43E00FB}"/>
    <cellStyle name="Normal 5" xfId="1" xr:uid="{12AB2BDA-EED5-4261-955D-CF9AC08550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44155461332442"/>
          <c:y val="5.3975673469198515E-2"/>
          <c:w val="0.81369482809214178"/>
          <c:h val="0.7733106715354244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'Linear PL '!$G$79:$G$93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'Linear PL '!$H$79:$H$93</c:f>
              <c:numCache>
                <c:formatCode>General</c:formatCode>
                <c:ptCount val="15"/>
                <c:pt idx="0">
                  <c:v>149</c:v>
                </c:pt>
                <c:pt idx="1">
                  <c:v>153</c:v>
                </c:pt>
                <c:pt idx="2">
                  <c:v>150</c:v>
                </c:pt>
                <c:pt idx="3">
                  <c:v>137</c:v>
                </c:pt>
                <c:pt idx="4">
                  <c:v>149</c:v>
                </c:pt>
                <c:pt idx="5">
                  <c:v>138</c:v>
                </c:pt>
                <c:pt idx="6">
                  <c:v>141</c:v>
                </c:pt>
                <c:pt idx="7">
                  <c:v>139</c:v>
                </c:pt>
                <c:pt idx="8">
                  <c:v>147</c:v>
                </c:pt>
                <c:pt idx="9">
                  <c:v>125</c:v>
                </c:pt>
                <c:pt idx="10">
                  <c:v>126</c:v>
                </c:pt>
                <c:pt idx="11">
                  <c:v>145</c:v>
                </c:pt>
                <c:pt idx="12">
                  <c:v>130</c:v>
                </c:pt>
                <c:pt idx="13">
                  <c:v>136</c:v>
                </c:pt>
                <c:pt idx="14">
                  <c:v>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63-4E80-A105-82A90D9E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918704"/>
        <c:axId val="1173119408"/>
      </c:scatterChart>
      <c:valAx>
        <c:axId val="1213918704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使用回数</a:t>
                </a:r>
                <a:r>
                  <a:rPr lang="en-US" altLang="ja-JP"/>
                  <a:t>(Heats)</a:t>
                </a:r>
                <a:endParaRPr lang="pt-BR" altLang="ja-JP"/>
              </a:p>
            </c:rich>
          </c:tx>
          <c:layout>
            <c:manualLayout>
              <c:xMode val="edge"/>
              <c:yMode val="edge"/>
              <c:x val="0.38957161432726045"/>
              <c:y val="0.90261428489187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3119408"/>
        <c:crosses val="autoZero"/>
        <c:crossBetween val="midCat"/>
        <c:majorUnit val="1"/>
      </c:valAx>
      <c:valAx>
        <c:axId val="11731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残存ストローク</a:t>
                </a:r>
                <a:r>
                  <a:rPr lang="en-US" altLang="ja-JP"/>
                  <a:t>(mm)</a:t>
                </a:r>
                <a:endParaRPr lang="pt-BR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9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07876802111362"/>
          <c:y val="5.648579889599982E-2"/>
          <c:w val="0.80817056107729324"/>
          <c:h val="0.71719416396974267"/>
        </c:manualLayout>
      </c:layout>
      <c:scatterChart>
        <c:scatterStyle val="lineMarker"/>
        <c:varyColors val="0"/>
        <c:ser>
          <c:idx val="0"/>
          <c:order val="0"/>
          <c:tx>
            <c:v>Upper PL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'Linear PL '!$T$79:$T$93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'Linear PL '!$U$79:$U$93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15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18</c:v>
                </c:pt>
                <c:pt idx="10">
                  <c:v>17</c:v>
                </c:pt>
                <c:pt idx="11">
                  <c:v>1</c:v>
                </c:pt>
                <c:pt idx="12">
                  <c:v>8</c:v>
                </c:pt>
                <c:pt idx="13">
                  <c:v>16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B-4418-B2B0-428356FBAB72}"/>
            </c:ext>
          </c:extLst>
        </c:ser>
        <c:ser>
          <c:idx val="1"/>
          <c:order val="1"/>
          <c:tx>
            <c:v>Lower PL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'Linear PL '!$T$79:$T$93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</c:numCache>
            </c:numRef>
          </c:xVal>
          <c:yVal>
            <c:numRef>
              <c:f>'Linear PL '!$V$79:$V$93</c:f>
              <c:numCache>
                <c:formatCode>General</c:formatCode>
                <c:ptCount val="15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13</c:v>
                </c:pt>
                <c:pt idx="6">
                  <c:v>8</c:v>
                </c:pt>
                <c:pt idx="7">
                  <c:v>12</c:v>
                </c:pt>
                <c:pt idx="8">
                  <c:v>3</c:v>
                </c:pt>
                <c:pt idx="9">
                  <c:v>13</c:v>
                </c:pt>
                <c:pt idx="10">
                  <c:v>13</c:v>
                </c:pt>
                <c:pt idx="11">
                  <c:v>10</c:v>
                </c:pt>
                <c:pt idx="12">
                  <c:v>18</c:v>
                </c:pt>
                <c:pt idx="13">
                  <c:v>4</c:v>
                </c:pt>
                <c:pt idx="1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B-4418-B2B0-428356FBA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033760"/>
        <c:axId val="1489857040"/>
      </c:scatterChart>
      <c:valAx>
        <c:axId val="154303376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使用回数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(Heats)</a:t>
                </a:r>
                <a:endParaRPr lang="pt-BR" altLang="ja-JP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0996995521253482"/>
              <c:y val="0.87739953452790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89857040"/>
        <c:crosses val="autoZero"/>
        <c:crossBetween val="midCat"/>
      </c:valAx>
      <c:valAx>
        <c:axId val="14898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面損傷</a:t>
                </a:r>
                <a:r>
                  <a:rPr lang="en-US" altLang="ja-JP"/>
                  <a:t>(mm)</a:t>
                </a:r>
                <a:endParaRPr lang="pt-BR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 alt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303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4999552913378997"/>
          <c:y val="7.8444441201129339E-2"/>
          <c:w val="0.14145794584454544"/>
          <c:h val="0.173771959270448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438836</xdr:colOff>
      <xdr:row>75</xdr:row>
      <xdr:rowOff>98655</xdr:rowOff>
    </xdr:from>
    <xdr:to>
      <xdr:col>12</xdr:col>
      <xdr:colOff>95250</xdr:colOff>
      <xdr:row>75</xdr:row>
      <xdr:rowOff>98655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3820055-25EB-4B92-8445-E554AD81934E}"/>
            </a:ext>
          </a:extLst>
        </xdr:cNvPr>
        <xdr:cNvCxnSpPr/>
      </xdr:nvCxnSpPr>
      <xdr:spPr>
        <a:xfrm>
          <a:off x="15154961" y="14424255"/>
          <a:ext cx="332689" cy="0"/>
        </a:xfrm>
        <a:prstGeom prst="straightConnector1">
          <a:avLst/>
        </a:prstGeom>
        <a:ln>
          <a:noFill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54475</xdr:colOff>
      <xdr:row>77</xdr:row>
      <xdr:rowOff>84986</xdr:rowOff>
    </xdr:from>
    <xdr:to>
      <xdr:col>16</xdr:col>
      <xdr:colOff>398563</xdr:colOff>
      <xdr:row>92</xdr:row>
      <xdr:rowOff>84349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8A111C-20FB-473D-AFF3-7F9BDE041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555846</xdr:colOff>
      <xdr:row>77</xdr:row>
      <xdr:rowOff>70022</xdr:rowOff>
    </xdr:from>
    <xdr:to>
      <xdr:col>29</xdr:col>
      <xdr:colOff>403310</xdr:colOff>
      <xdr:row>93</xdr:row>
      <xdr:rowOff>25743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5DDCEB-A6FF-4C18-9AD8-6E8F3A470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133350</xdr:rowOff>
    </xdr:to>
    <xdr:sp macro="" textlink="">
      <xdr:nvSpPr>
        <xdr:cNvPr id="5" name="AutoShape 1" descr="Generated image 2">
          <a:extLst>
            <a:ext uri="{FF2B5EF4-FFF2-40B4-BE49-F238E27FC236}">
              <a16:creationId xmlns:a16="http://schemas.microsoft.com/office/drawing/2014/main" id="{1205AC7A-B94D-486C-91C7-AEEF964F0DD0}"/>
            </a:ext>
          </a:extLst>
        </xdr:cNvPr>
        <xdr:cNvSpPr>
          <a:spLocks noChangeAspect="1" noChangeArrowheads="1"/>
        </xdr:cNvSpPr>
      </xdr:nvSpPr>
      <xdr:spPr bwMode="auto">
        <a:xfrm>
          <a:off x="3810000" y="5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469355</xdr:colOff>
      <xdr:row>0</xdr:row>
      <xdr:rowOff>153511</xdr:rowOff>
    </xdr:from>
    <xdr:to>
      <xdr:col>20</xdr:col>
      <xdr:colOff>210534</xdr:colOff>
      <xdr:row>28</xdr:row>
      <xdr:rowOff>64216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A4DC347-7077-4BC5-B395-DA7D12467C73}"/>
            </a:ext>
          </a:extLst>
        </xdr:cNvPr>
        <xdr:cNvGrpSpPr/>
      </xdr:nvGrpSpPr>
      <xdr:grpSpPr>
        <a:xfrm>
          <a:off x="13867855" y="153511"/>
          <a:ext cx="7059554" cy="5720955"/>
          <a:chOff x="12107714" y="153511"/>
          <a:chExt cx="7051617" cy="5655471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047000C-F98D-25C6-7522-316E9DD3BC00}"/>
              </a:ext>
            </a:extLst>
          </xdr:cNvPr>
          <xdr:cNvGrpSpPr/>
        </xdr:nvGrpSpPr>
        <xdr:grpSpPr>
          <a:xfrm>
            <a:off x="12107714" y="153511"/>
            <a:ext cx="7051617" cy="5655471"/>
            <a:chOff x="11699348" y="419429"/>
            <a:chExt cx="6679448" cy="4512883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49BE7B20-B694-B57F-6903-6285BEE73878}"/>
                </a:ext>
              </a:extLst>
            </xdr:cNvPr>
            <xdr:cNvGrpSpPr/>
          </xdr:nvGrpSpPr>
          <xdr:grpSpPr>
            <a:xfrm>
              <a:off x="11940891" y="419429"/>
              <a:ext cx="5679070" cy="2326289"/>
              <a:chOff x="11940891" y="419429"/>
              <a:chExt cx="5679070" cy="2326289"/>
            </a:xfrm>
          </xdr:grpSpPr>
          <xdr:grpSp>
            <xdr:nvGrpSpPr>
              <xdr:cNvPr id="54" name="Group 53">
                <a:extLst>
                  <a:ext uri="{FF2B5EF4-FFF2-40B4-BE49-F238E27FC236}">
                    <a16:creationId xmlns:a16="http://schemas.microsoft.com/office/drawing/2014/main" id="{53B10563-98D1-96CB-F981-B0C8217FF121}"/>
                  </a:ext>
                </a:extLst>
              </xdr:cNvPr>
              <xdr:cNvGrpSpPr/>
            </xdr:nvGrpSpPr>
            <xdr:grpSpPr>
              <a:xfrm>
                <a:off x="14102411" y="419429"/>
                <a:ext cx="3517550" cy="2326289"/>
                <a:chOff x="1332626" y="1018246"/>
                <a:chExt cx="2972842" cy="2141544"/>
              </a:xfrm>
            </xdr:grpSpPr>
            <xdr:grpSp>
              <xdr:nvGrpSpPr>
                <xdr:cNvPr id="57" name="Group 56">
                  <a:extLst>
                    <a:ext uri="{FF2B5EF4-FFF2-40B4-BE49-F238E27FC236}">
                      <a16:creationId xmlns:a16="http://schemas.microsoft.com/office/drawing/2014/main" id="{8070BF05-FF26-3E90-3E15-8ADB55877B98}"/>
                    </a:ext>
                  </a:extLst>
                </xdr:cNvPr>
                <xdr:cNvGrpSpPr/>
              </xdr:nvGrpSpPr>
              <xdr:grpSpPr>
                <a:xfrm>
                  <a:off x="1332626" y="1018246"/>
                  <a:ext cx="2972842" cy="2141544"/>
                  <a:chOff x="1332626" y="1018246"/>
                  <a:chExt cx="2972842" cy="2141544"/>
                </a:xfrm>
              </xdr:grpSpPr>
              <xdr:grpSp>
                <xdr:nvGrpSpPr>
                  <xdr:cNvPr id="60" name="Group 59">
                    <a:extLst>
                      <a:ext uri="{FF2B5EF4-FFF2-40B4-BE49-F238E27FC236}">
                        <a16:creationId xmlns:a16="http://schemas.microsoft.com/office/drawing/2014/main" id="{0078086D-6ACD-DF6F-CFD7-19A2B2F4A20D}"/>
                      </a:ext>
                    </a:extLst>
                  </xdr:cNvPr>
                  <xdr:cNvGrpSpPr/>
                </xdr:nvGrpSpPr>
                <xdr:grpSpPr>
                  <a:xfrm>
                    <a:off x="1332626" y="1018246"/>
                    <a:ext cx="2972842" cy="2141544"/>
                    <a:chOff x="10332924" y="3121138"/>
                    <a:chExt cx="3203121" cy="2296885"/>
                  </a:xfrm>
                </xdr:grpSpPr>
                <xdr:grpSp>
                  <xdr:nvGrpSpPr>
                    <xdr:cNvPr id="63" name="Group 62">
                      <a:extLst>
                        <a:ext uri="{FF2B5EF4-FFF2-40B4-BE49-F238E27FC236}">
                          <a16:creationId xmlns:a16="http://schemas.microsoft.com/office/drawing/2014/main" id="{A66D5D2A-7F38-266D-F872-347D42BA69DC}"/>
                        </a:ext>
                      </a:extLst>
                    </xdr:cNvPr>
                    <xdr:cNvGrpSpPr/>
                  </xdr:nvGrpSpPr>
                  <xdr:grpSpPr>
                    <a:xfrm>
                      <a:off x="10332924" y="3121138"/>
                      <a:ext cx="3203121" cy="2296885"/>
                      <a:chOff x="688862" y="3291228"/>
                      <a:chExt cx="3203121" cy="2296885"/>
                    </a:xfrm>
                  </xdr:grpSpPr>
                  <xdr:grpSp>
                    <xdr:nvGrpSpPr>
                      <xdr:cNvPr id="65" name="Grupo 1">
                        <a:extLst>
                          <a:ext uri="{FF2B5EF4-FFF2-40B4-BE49-F238E27FC236}">
                            <a16:creationId xmlns:a16="http://schemas.microsoft.com/office/drawing/2014/main" id="{64D22D81-9419-112D-6D56-3108FAFD2694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88862" y="3291228"/>
                        <a:ext cx="3203121" cy="2296885"/>
                        <a:chOff x="358587" y="7171762"/>
                        <a:chExt cx="3179026" cy="2405080"/>
                      </a:xfrm>
                    </xdr:grpSpPr>
                    <xdr:pic>
                      <xdr:nvPicPr>
                        <xdr:cNvPr id="67" name="Imagem 2">
                          <a:extLst>
                            <a:ext uri="{FF2B5EF4-FFF2-40B4-BE49-F238E27FC236}">
                              <a16:creationId xmlns:a16="http://schemas.microsoft.com/office/drawing/2014/main" id="{DF331C58-CDD6-1152-D928-9B613310BF6C}"/>
                            </a:ext>
                          </a:extLst>
                        </xdr:cNvPr>
                        <xdr:cNvPicPr>
                          <a:picLocks noChangeAspect="1" noChangeArrowheads="1"/>
                        </xdr:cNvPicPr>
                      </xdr:nvPicPr>
                      <xdr:blipFill>
                        <a:blip xmlns:r="http://schemas.openxmlformats.org/officeDocument/2006/relationships" r:embed="rId3">
                          <a:extLst>
                            <a:ext uri="{28A0092B-C50C-407E-A947-70E740481C1C}">
                              <a14:useLocalDpi xmlns:a14="http://schemas.microsoft.com/office/drawing/2010/main" val="0"/>
                            </a:ext>
                          </a:extLst>
                        </a:blip>
                        <a:srcRect/>
                        <a:stretch>
                          <a:fillRect/>
                        </a:stretch>
                      </xdr:blipFill>
                      <xdr:spPr bwMode="auto">
                        <a:xfrm>
                          <a:off x="358587" y="7171762"/>
                          <a:ext cx="3179026" cy="230841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  <a:ext uri="{91240B29-F687-4F45-9708-019B960494DF}">
                            <a14:hiddenLine xmlns:a14="http://schemas.microsoft.com/office/drawing/2010/main" w="9525">
                              <a:solidFill>
                                <a:srgbClr val="000000"/>
                              </a:solidFill>
                              <a:miter lim="800000"/>
                              <a:headEnd/>
                              <a:tailEnd/>
                            </a14:hiddenLine>
                          </a:ext>
                        </a:extLst>
                      </xdr:spPr>
                    </xdr:pic>
                    <xdr:sp macro="" textlink="">
                      <xdr:nvSpPr>
                        <xdr:cNvPr id="68" name="CaixaDeTexto 3">
                          <a:extLst>
                            <a:ext uri="{FF2B5EF4-FFF2-40B4-BE49-F238E27FC236}">
                              <a16:creationId xmlns:a16="http://schemas.microsoft.com/office/drawing/2014/main" id="{2A82FD60-80D7-9D77-8235-93EB160BA6A2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702138" y="7868394"/>
                          <a:ext cx="702846" cy="178154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FF0000"/>
                              </a:solidFill>
                            </a:rPr>
                            <a:t>A</a:t>
                          </a:r>
                        </a:p>
                      </xdr:txBody>
                    </xdr:sp>
                    <xdr:sp macro="" textlink="">
                      <xdr:nvSpPr>
                        <xdr:cNvPr id="69" name="CaixaDeTexto 4">
                          <a:extLst>
                            <a:ext uri="{FF2B5EF4-FFF2-40B4-BE49-F238E27FC236}">
                              <a16:creationId xmlns:a16="http://schemas.microsoft.com/office/drawing/2014/main" id="{16C57DA3-49D0-37E7-AC07-6E4677678D2B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202002" y="8290174"/>
                          <a:ext cx="248699" cy="19794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00B050"/>
                              </a:solidFill>
                            </a:rPr>
                            <a:t>C</a:t>
                          </a:r>
                        </a:p>
                      </xdr:txBody>
                    </xdr:sp>
                    <xdr:sp macro="" textlink="">
                      <xdr:nvSpPr>
                        <xdr:cNvPr id="70" name="CaixaDeTexto 5">
                          <a:extLst>
                            <a:ext uri="{FF2B5EF4-FFF2-40B4-BE49-F238E27FC236}">
                              <a16:creationId xmlns:a16="http://schemas.microsoft.com/office/drawing/2014/main" id="{9A26EB4D-83B1-1DAC-0C58-0429F4037C0C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398912" y="8289799"/>
                          <a:ext cx="291951" cy="19794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0070C0"/>
                              </a:solidFill>
                            </a:rPr>
                            <a:t>B</a:t>
                          </a:r>
                        </a:p>
                      </xdr:txBody>
                    </xdr:sp>
                    <xdr:sp macro="" textlink="">
                      <xdr:nvSpPr>
                        <xdr:cNvPr id="71" name="CaixaDeTexto 6">
                          <a:extLst>
                            <a:ext uri="{FF2B5EF4-FFF2-40B4-BE49-F238E27FC236}">
                              <a16:creationId xmlns:a16="http://schemas.microsoft.com/office/drawing/2014/main" id="{E78071A1-035F-6688-F8F2-4481DA5F0936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772145" y="8295413"/>
                          <a:ext cx="259512" cy="19794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FFC000"/>
                              </a:solidFill>
                            </a:rPr>
                            <a:t>D</a:t>
                          </a:r>
                        </a:p>
                      </xdr:txBody>
                    </xdr:sp>
                    <xdr:sp macro="" textlink="">
                      <xdr:nvSpPr>
                        <xdr:cNvPr id="72" name="CaixaDeTexto 7">
                          <a:extLst>
                            <a:ext uri="{FF2B5EF4-FFF2-40B4-BE49-F238E27FC236}">
                              <a16:creationId xmlns:a16="http://schemas.microsoft.com/office/drawing/2014/main" id="{86B7204A-5345-C0A0-0D53-BA7C4D79BD41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991352" y="8290174"/>
                          <a:ext cx="248699" cy="197949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7030A0"/>
                              </a:solidFill>
                            </a:rPr>
                            <a:t>E</a:t>
                          </a:r>
                        </a:p>
                      </xdr:txBody>
                    </xdr:sp>
                    <xdr:sp macro="" textlink="">
                      <xdr:nvSpPr>
                        <xdr:cNvPr id="73" name="CaixaDeTexto 8">
                          <a:extLst>
                            <a:ext uri="{FF2B5EF4-FFF2-40B4-BE49-F238E27FC236}">
                              <a16:creationId xmlns:a16="http://schemas.microsoft.com/office/drawing/2014/main" id="{1A6BB729-911C-DABB-76A8-211BE365958C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147937" y="9388790"/>
                          <a:ext cx="248699" cy="18805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CC9900"/>
                              </a:solidFill>
                            </a:rPr>
                            <a:t>I</a:t>
                          </a:r>
                        </a:p>
                      </xdr:txBody>
                    </xdr:sp>
                    <xdr:sp macro="" textlink="">
                      <xdr:nvSpPr>
                        <xdr:cNvPr id="74" name="CaixaDeTexto 9">
                          <a:extLst>
                            <a:ext uri="{FF2B5EF4-FFF2-40B4-BE49-F238E27FC236}">
                              <a16:creationId xmlns:a16="http://schemas.microsoft.com/office/drawing/2014/main" id="{0FB44292-253D-4550-5E59-D4EB7B9FF9ED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472327" y="9388790"/>
                          <a:ext cx="291951" cy="188052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FF00FF"/>
                              </a:solidFill>
                            </a:rPr>
                            <a:t>H</a:t>
                          </a:r>
                        </a:p>
                      </xdr:txBody>
                    </xdr:sp>
                    <xdr:sp macro="" textlink="">
                      <xdr:nvSpPr>
                        <xdr:cNvPr id="75" name="CaixaDeTexto 10">
                          <a:extLst>
                            <a:ext uri="{FF2B5EF4-FFF2-40B4-BE49-F238E27FC236}">
                              <a16:creationId xmlns:a16="http://schemas.microsoft.com/office/drawing/2014/main" id="{5DBD992A-9B17-257F-2A9C-E4F549F17D98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293883" y="8634038"/>
                          <a:ext cx="281138" cy="197948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rgbClr val="00B050"/>
                              </a:solidFill>
                            </a:rPr>
                            <a:t>F</a:t>
                          </a:r>
                        </a:p>
                      </xdr:txBody>
                    </xdr:sp>
                    <xdr:sp macro="" textlink="">
                      <xdr:nvSpPr>
                        <xdr:cNvPr id="76" name="CaixaDeTexto 11">
                          <a:extLst>
                            <a:ext uri="{FF2B5EF4-FFF2-40B4-BE49-F238E27FC236}">
                              <a16:creationId xmlns:a16="http://schemas.microsoft.com/office/drawing/2014/main" id="{72A4FEB2-106B-6F57-BEE7-3D8A75E4AC1B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1403535" y="8880574"/>
                          <a:ext cx="281138" cy="197948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lang="pt-BR" sz="1100" b="1">
                              <a:solidFill>
                                <a:schemeClr val="tx1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G</a:t>
                          </a:r>
                        </a:p>
                      </xdr:txBody>
                    </xdr:sp>
                  </xdr:grpSp>
                  <xdr:cxnSp macro="">
                    <xdr:nvCxnSpPr>
                      <xdr:cNvPr id="66" name="Straight Arrow Connector 65">
                        <a:extLst>
                          <a:ext uri="{FF2B5EF4-FFF2-40B4-BE49-F238E27FC236}">
                            <a16:creationId xmlns:a16="http://schemas.microsoft.com/office/drawing/2014/main" id="{B4D0DAB1-B93A-1181-195C-B926385EF86A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144165" y="3724902"/>
                        <a:ext cx="478405" cy="0"/>
                      </a:xfrm>
                      <a:prstGeom prst="straightConnector1">
                        <a:avLst/>
                      </a:prstGeom>
                      <a:ln>
                        <a:headEnd type="triangle"/>
                        <a:tailEnd type="triangle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sp macro="" textlink="">
                  <xdr:nvSpPr>
                    <xdr:cNvPr id="64" name="TextBox 63">
                      <a:extLst>
                        <a:ext uri="{FF2B5EF4-FFF2-40B4-BE49-F238E27FC236}">
                          <a16:creationId xmlns:a16="http://schemas.microsoft.com/office/drawing/2014/main" id="{BB312314-C88C-D1F0-DBC2-3ACDBE187348}"/>
                        </a:ext>
                      </a:extLst>
                    </xdr:cNvPr>
                    <xdr:cNvSpPr txBox="1"/>
                  </xdr:nvSpPr>
                  <xdr:spPr>
                    <a:xfrm>
                      <a:off x="11929675" y="3335546"/>
                      <a:ext cx="212612" cy="17008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pPr algn="ctr"/>
                      <a:r>
                        <a:rPr kumimoji="1" lang="en-US" altLang="ja-JP" sz="1400" b="1">
                          <a:solidFill>
                            <a:srgbClr val="0070C0"/>
                          </a:solidFill>
                        </a:rPr>
                        <a:t>T</a:t>
                      </a:r>
                      <a:endParaRPr kumimoji="1" lang="ja-JP" altLang="en-US" sz="1400" b="1">
                        <a:solidFill>
                          <a:srgbClr val="0070C0"/>
                        </a:solidFill>
                      </a:endParaRPr>
                    </a:p>
                  </xdr:txBody>
                </xdr:sp>
              </xdr:grpSp>
              <xdr:sp macro="" textlink="">
                <xdr:nvSpPr>
                  <xdr:cNvPr id="61" name="Arc 60">
                    <a:extLst>
                      <a:ext uri="{FF2B5EF4-FFF2-40B4-BE49-F238E27FC236}">
                        <a16:creationId xmlns:a16="http://schemas.microsoft.com/office/drawing/2014/main" id="{23C1990C-E28B-E98F-D729-0FCEC76B58C6}"/>
                      </a:ext>
                    </a:extLst>
                  </xdr:cNvPr>
                  <xdr:cNvSpPr/>
                </xdr:nvSpPr>
                <xdr:spPr>
                  <a:xfrm>
                    <a:off x="2238784" y="2686278"/>
                    <a:ext cx="45719" cy="247018"/>
                  </a:xfrm>
                  <a:prstGeom prst="arc">
                    <a:avLst>
                      <a:gd name="adj1" fmla="val 16200000"/>
                      <a:gd name="adj2" fmla="val 5426848"/>
                    </a:avLst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  <xdr:sp macro="" textlink="">
                <xdr:nvSpPr>
                  <xdr:cNvPr id="62" name="Arc 61">
                    <a:extLst>
                      <a:ext uri="{FF2B5EF4-FFF2-40B4-BE49-F238E27FC236}">
                        <a16:creationId xmlns:a16="http://schemas.microsoft.com/office/drawing/2014/main" id="{0ABAC1B9-C4BF-3E5C-602E-6680FB7C3A1F}"/>
                      </a:ext>
                    </a:extLst>
                  </xdr:cNvPr>
                  <xdr:cNvSpPr/>
                </xdr:nvSpPr>
                <xdr:spPr>
                  <a:xfrm rot="10800000">
                    <a:off x="2725455" y="2684121"/>
                    <a:ext cx="45719" cy="236443"/>
                  </a:xfrm>
                  <a:prstGeom prst="arc">
                    <a:avLst>
                      <a:gd name="adj1" fmla="val 16200000"/>
                      <a:gd name="adj2" fmla="val 5426848"/>
                    </a:avLst>
                  </a:prstGeom>
                </xdr:spPr>
                <xdr:style>
                  <a:lnRef idx="1">
                    <a:schemeClr val="dk1"/>
                  </a:lnRef>
                  <a:fillRef idx="0">
                    <a:schemeClr val="dk1"/>
                  </a:fillRef>
                  <a:effectRef idx="0">
                    <a:schemeClr val="dk1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kumimoji="1" lang="ja-JP" altLang="en-US" sz="1100"/>
                  </a:p>
                </xdr:txBody>
              </xdr:sp>
            </xdr:grpSp>
            <xdr:cxnSp macro="">
              <xdr:nvCxnSpPr>
                <xdr:cNvPr id="58" name="Straight Connector 57">
                  <a:extLst>
                    <a:ext uri="{FF2B5EF4-FFF2-40B4-BE49-F238E27FC236}">
                      <a16:creationId xmlns:a16="http://schemas.microsoft.com/office/drawing/2014/main" id="{EA2C966B-5644-E6BE-C6EB-A11F308BDA5D}"/>
                    </a:ext>
                  </a:extLst>
                </xdr:cNvPr>
                <xdr:cNvCxnSpPr/>
              </xdr:nvCxnSpPr>
              <xdr:spPr>
                <a:xfrm>
                  <a:off x="2184166" y="2013239"/>
                  <a:ext cx="0" cy="554182"/>
                </a:xfrm>
                <a:prstGeom prst="line">
                  <a:avLst/>
                </a:prstGeom>
                <a:ln>
                  <a:prstDash val="dash"/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9" name="Straight Connector 58">
                  <a:extLst>
                    <a:ext uri="{FF2B5EF4-FFF2-40B4-BE49-F238E27FC236}">
                      <a16:creationId xmlns:a16="http://schemas.microsoft.com/office/drawing/2014/main" id="{499E83C9-8465-A1B9-0EDC-A675EC7334BB}"/>
                    </a:ext>
                  </a:extLst>
                </xdr:cNvPr>
                <xdr:cNvCxnSpPr/>
              </xdr:nvCxnSpPr>
              <xdr:spPr>
                <a:xfrm>
                  <a:off x="2819401" y="2018434"/>
                  <a:ext cx="0" cy="554182"/>
                </a:xfrm>
                <a:prstGeom prst="line">
                  <a:avLst/>
                </a:prstGeom>
                <a:ln>
                  <a:prstDash val="dash"/>
                  <a:headEnd type="none" w="med" len="med"/>
                  <a:tailEnd type="none" w="med" len="med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13A44313-402F-7911-EEB1-A7280F139E42}"/>
                  </a:ext>
                </a:extLst>
              </xdr:cNvPr>
              <xdr:cNvSpPr txBox="1"/>
            </xdr:nvSpPr>
            <xdr:spPr>
              <a:xfrm>
                <a:off x="11940891" y="1034612"/>
                <a:ext cx="2103450" cy="270971"/>
              </a:xfrm>
              <a:prstGeom prst="rect">
                <a:avLst/>
              </a:prstGeom>
              <a:ln/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en-US" altLang="ja-JP" sz="1100"/>
                  <a:t>Top View (Upper plate, Sliding face)</a:t>
                </a:r>
                <a:endParaRPr kumimoji="1" lang="ja-JP" altLang="en-US" sz="1100"/>
              </a:p>
            </xdr:txBody>
          </xdr:sp>
          <xdr:sp macro="" textlink="">
            <xdr:nvSpPr>
              <xdr:cNvPr id="56" name="TextBox 55">
                <a:extLst>
                  <a:ext uri="{FF2B5EF4-FFF2-40B4-BE49-F238E27FC236}">
                    <a16:creationId xmlns:a16="http://schemas.microsoft.com/office/drawing/2014/main" id="{3B19E28C-AFD2-9833-6360-CB9DDBDBE456}"/>
                  </a:ext>
                </a:extLst>
              </xdr:cNvPr>
              <xdr:cNvSpPr txBox="1"/>
            </xdr:nvSpPr>
            <xdr:spPr>
              <a:xfrm>
                <a:off x="12408389" y="2155515"/>
                <a:ext cx="1665440" cy="270969"/>
              </a:xfrm>
              <a:prstGeom prst="rect">
                <a:avLst/>
              </a:prstGeom>
              <a:ln/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en-US" altLang="ja-JP" sz="1100"/>
                  <a:t>Cross-section (Single plate)</a:t>
                </a:r>
                <a:endParaRPr kumimoji="1" lang="ja-JP" altLang="en-US" sz="1100"/>
              </a:p>
            </xdr:txBody>
          </xdr:sp>
        </xdr:grp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6759F6C8-8E4D-F026-CAFA-1F3FED7319E2}"/>
                </a:ext>
              </a:extLst>
            </xdr:cNvPr>
            <xdr:cNvGrpSpPr/>
          </xdr:nvGrpSpPr>
          <xdr:grpSpPr>
            <a:xfrm>
              <a:off x="11699348" y="667392"/>
              <a:ext cx="6679448" cy="4264920"/>
              <a:chOff x="11699348" y="667392"/>
              <a:chExt cx="6679448" cy="4264920"/>
            </a:xfrm>
          </xdr:grpSpPr>
          <xdr:grpSp>
            <xdr:nvGrpSpPr>
              <xdr:cNvPr id="11" name="Group 10">
                <a:extLst>
                  <a:ext uri="{FF2B5EF4-FFF2-40B4-BE49-F238E27FC236}">
                    <a16:creationId xmlns:a16="http://schemas.microsoft.com/office/drawing/2014/main" id="{35137FE1-DD63-2D5B-3690-E051A778A573}"/>
                  </a:ext>
                </a:extLst>
              </xdr:cNvPr>
              <xdr:cNvGrpSpPr/>
            </xdr:nvGrpSpPr>
            <xdr:grpSpPr>
              <a:xfrm>
                <a:off x="14056280" y="667392"/>
                <a:ext cx="4322516" cy="4264920"/>
                <a:chOff x="1134432" y="989923"/>
                <a:chExt cx="3592344" cy="4588697"/>
              </a:xfrm>
            </xdr:grpSpPr>
            <xdr:cxnSp macro="">
              <xdr:nvCxnSpPr>
                <xdr:cNvPr id="13" name="Straight Arrow Connector 12">
                  <a:extLst>
                    <a:ext uri="{FF2B5EF4-FFF2-40B4-BE49-F238E27FC236}">
                      <a16:creationId xmlns:a16="http://schemas.microsoft.com/office/drawing/2014/main" id="{72A93956-3842-441A-A51D-A925B2EAB428}"/>
                    </a:ext>
                  </a:extLst>
                </xdr:cNvPr>
                <xdr:cNvCxnSpPr/>
              </xdr:nvCxnSpPr>
              <xdr:spPr>
                <a:xfrm>
                  <a:off x="2491978" y="4504134"/>
                  <a:ext cx="446485" cy="0"/>
                </a:xfrm>
                <a:prstGeom prst="straightConnector1">
                  <a:avLst/>
                </a:prstGeom>
                <a:ln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4" name="Straight Arrow Connector 13">
                  <a:extLst>
                    <a:ext uri="{FF2B5EF4-FFF2-40B4-BE49-F238E27FC236}">
                      <a16:creationId xmlns:a16="http://schemas.microsoft.com/office/drawing/2014/main" id="{888FAF97-A0B1-0D37-EA57-6B0FD2FFBAD6}"/>
                    </a:ext>
                  </a:extLst>
                </xdr:cNvPr>
                <xdr:cNvCxnSpPr/>
              </xdr:nvCxnSpPr>
              <xdr:spPr>
                <a:xfrm>
                  <a:off x="3061096" y="4504631"/>
                  <a:ext cx="292894" cy="0"/>
                </a:xfrm>
                <a:prstGeom prst="straightConnector1">
                  <a:avLst/>
                </a:prstGeom>
                <a:ln>
                  <a:solidFill>
                    <a:schemeClr val="accent6">
                      <a:lumMod val="75000"/>
                    </a:schemeClr>
                  </a:solidFill>
                  <a:headEnd type="triangle"/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5" name="Group 14">
                  <a:extLst>
                    <a:ext uri="{FF2B5EF4-FFF2-40B4-BE49-F238E27FC236}">
                      <a16:creationId xmlns:a16="http://schemas.microsoft.com/office/drawing/2014/main" id="{3D0C1B81-D5B6-CCBC-7376-315908E24B87}"/>
                    </a:ext>
                  </a:extLst>
                </xdr:cNvPr>
                <xdr:cNvGrpSpPr/>
              </xdr:nvGrpSpPr>
              <xdr:grpSpPr>
                <a:xfrm>
                  <a:off x="1134432" y="989923"/>
                  <a:ext cx="3592344" cy="4588697"/>
                  <a:chOff x="1133860" y="1004016"/>
                  <a:chExt cx="3595718" cy="4464752"/>
                </a:xfrm>
              </xdr:grpSpPr>
              <xdr:grpSp>
                <xdr:nvGrpSpPr>
                  <xdr:cNvPr id="16" name="Group 15">
                    <a:extLst>
                      <a:ext uri="{FF2B5EF4-FFF2-40B4-BE49-F238E27FC236}">
                        <a16:creationId xmlns:a16="http://schemas.microsoft.com/office/drawing/2014/main" id="{B7A64010-F0EB-D8AE-A178-69E92DDD91B7}"/>
                      </a:ext>
                    </a:extLst>
                  </xdr:cNvPr>
                  <xdr:cNvGrpSpPr/>
                </xdr:nvGrpSpPr>
                <xdr:grpSpPr>
                  <a:xfrm>
                    <a:off x="1133860" y="1004016"/>
                    <a:ext cx="3595718" cy="4464752"/>
                    <a:chOff x="1135606" y="1014647"/>
                    <a:chExt cx="3597124" cy="4584233"/>
                  </a:xfrm>
                </xdr:grpSpPr>
                <xdr:grpSp>
                  <xdr:nvGrpSpPr>
                    <xdr:cNvPr id="20" name="Group 19">
                      <a:extLst>
                        <a:ext uri="{FF2B5EF4-FFF2-40B4-BE49-F238E27FC236}">
                          <a16:creationId xmlns:a16="http://schemas.microsoft.com/office/drawing/2014/main" id="{F4CFA01B-D268-0FDB-9064-A1753DF41EDD}"/>
                        </a:ext>
                      </a:extLst>
                    </xdr:cNvPr>
                    <xdr:cNvGrpSpPr/>
                  </xdr:nvGrpSpPr>
                  <xdr:grpSpPr>
                    <a:xfrm>
                      <a:off x="1135606" y="1014647"/>
                      <a:ext cx="3597124" cy="4584233"/>
                      <a:chOff x="15143840" y="1068091"/>
                      <a:chExt cx="3862563" cy="4658471"/>
                    </a:xfrm>
                  </xdr:grpSpPr>
                  <xdr:grpSp>
                    <xdr:nvGrpSpPr>
                      <xdr:cNvPr id="23" name="Group 22">
                        <a:extLst>
                          <a:ext uri="{FF2B5EF4-FFF2-40B4-BE49-F238E27FC236}">
                            <a16:creationId xmlns:a16="http://schemas.microsoft.com/office/drawing/2014/main" id="{6FA95682-28DF-1275-F5AA-6F41CF2B126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143840" y="1068091"/>
                        <a:ext cx="3862563" cy="4658471"/>
                        <a:chOff x="15132706" y="1065936"/>
                        <a:chExt cx="3857948" cy="4670833"/>
                      </a:xfrm>
                    </xdr:grpSpPr>
                    <xdr:grpSp>
                      <xdr:nvGrpSpPr>
                        <xdr:cNvPr id="25" name="Group 24">
                          <a:extLst>
                            <a:ext uri="{FF2B5EF4-FFF2-40B4-BE49-F238E27FC236}">
                              <a16:creationId xmlns:a16="http://schemas.microsoft.com/office/drawing/2014/main" id="{20F7BD61-FB1A-03F4-B735-309C4A24E5B2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5132706" y="1065936"/>
                          <a:ext cx="3857948" cy="4670833"/>
                          <a:chOff x="15132706" y="1065936"/>
                          <a:chExt cx="3857948" cy="4670833"/>
                        </a:xfrm>
                      </xdr:grpSpPr>
                      <xdr:grpSp>
                        <xdr:nvGrpSpPr>
                          <xdr:cNvPr id="27" name="Group 26">
                            <a:extLst>
                              <a:ext uri="{FF2B5EF4-FFF2-40B4-BE49-F238E27FC236}">
                                <a16:creationId xmlns:a16="http://schemas.microsoft.com/office/drawing/2014/main" id="{C103B9CC-5202-A9D6-AC9C-D439FA00D10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5147017" y="1065936"/>
                            <a:ext cx="3843637" cy="4642625"/>
                            <a:chOff x="14953838" y="383633"/>
                            <a:chExt cx="3837605" cy="4635536"/>
                          </a:xfrm>
                        </xdr:grpSpPr>
                        <xdr:grpSp>
                          <xdr:nvGrpSpPr>
                            <xdr:cNvPr id="32" name="Group 31">
                              <a:extLst>
                                <a:ext uri="{FF2B5EF4-FFF2-40B4-BE49-F238E27FC236}">
                                  <a16:creationId xmlns:a16="http://schemas.microsoft.com/office/drawing/2014/main" id="{C0BBCCFB-23D1-E67B-23BD-17C1339B2916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14953838" y="383633"/>
                              <a:ext cx="3837605" cy="4627345"/>
                              <a:chOff x="14973636" y="409221"/>
                              <a:chExt cx="3848503" cy="4756525"/>
                            </a:xfrm>
                          </xdr:grpSpPr>
                          <xdr:grpSp>
                            <xdr:nvGrpSpPr>
                              <xdr:cNvPr id="35" name="Group 34">
                                <a:extLst>
                                  <a:ext uri="{FF2B5EF4-FFF2-40B4-BE49-F238E27FC236}">
                                    <a16:creationId xmlns:a16="http://schemas.microsoft.com/office/drawing/2014/main" id="{7406E798-D72A-2B0C-F3DB-27795068CBA8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14973636" y="409221"/>
                                <a:ext cx="3848503" cy="4756525"/>
                                <a:chOff x="14915149" y="651524"/>
                                <a:chExt cx="3848503" cy="4756525"/>
                              </a:xfrm>
                            </xdr:grpSpPr>
                            <xdr:grpSp>
                              <xdr:nvGrpSpPr>
                                <xdr:cNvPr id="38" name="Group 37">
                                  <a:extLst>
                                    <a:ext uri="{FF2B5EF4-FFF2-40B4-BE49-F238E27FC236}">
                                      <a16:creationId xmlns:a16="http://schemas.microsoft.com/office/drawing/2014/main" id="{D743E7AE-1A7D-87D1-518B-F87423C00225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4915149" y="651524"/>
                                  <a:ext cx="3848503" cy="4756525"/>
                                  <a:chOff x="13545236" y="518826"/>
                                  <a:chExt cx="3852514" cy="4651297"/>
                                </a:xfrm>
                              </xdr:grpSpPr>
                              <xdr:pic>
                                <xdr:nvPicPr>
                                  <xdr:cNvPr id="41" name="Imagem 2">
                                    <a:extLst>
                                      <a:ext uri="{FF2B5EF4-FFF2-40B4-BE49-F238E27FC236}">
                                        <a16:creationId xmlns:a16="http://schemas.microsoft.com/office/drawing/2014/main" id="{3E12335B-4BD6-8AF1-E431-0344F21DD3BC}"/>
                                      </a:ext>
                                    </a:extLst>
                                  </xdr:cNvPr>
                                  <xdr:cNvPicPr>
                                    <a:picLocks noChangeAspect="1" noChangeArrowheads="1"/>
                                  </xdr:cNvPicPr>
                                </xdr:nvPicPr>
                                <xdr:blipFill rotWithShape="1">
                                  <a:blip xmlns:r="http://schemas.openxmlformats.org/officeDocument/2006/relationships" r:embed="rId3">
                                    <a:extLst>
                                      <a:ext uri="{28A0092B-C50C-407E-A947-70E740481C1C}">
                                        <a14:useLocalDpi xmlns:a14="http://schemas.microsoft.com/office/drawing/2010/main" val="0"/>
                                      </a:ext>
                                    </a:extLst>
                                  </a:blip>
                                  <a:srcRect t="79496"/>
                                  <a:stretch>
                                    <a:fillRect/>
                                  </a:stretch>
                                </xdr:blipFill>
                                <xdr:spPr bwMode="auto">
                                  <a:xfrm>
                                    <a:off x="13545236" y="3563255"/>
                                    <a:ext cx="3195291" cy="455533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  <a:extLst>
                                    <a:ext uri="{909E8E84-426E-40DD-AFC4-6F175D3DCCD1}">
                                      <a14:hiddenFill xmlns:a14="http://schemas.microsoft.com/office/drawing/2010/main">
                                        <a:solidFill>
                                          <a:srgbClr val="FFFFFF"/>
                                        </a:solidFill>
                                      </a14:hiddenFill>
                                    </a:ext>
                                    <a:ext uri="{91240B29-F687-4F45-9708-019B960494DF}">
                                      <a14:hiddenLine xmlns:a14="http://schemas.microsoft.com/office/drawing/2010/main" w="9525">
                                        <a:solidFill>
                                          <a:srgbClr val="000000"/>
                                        </a:solidFill>
                                        <a:miter lim="800000"/>
                                        <a:headEnd/>
                                        <a:tailEnd/>
                                      </a14:hiddenLine>
                                    </a:ext>
                                  </a:extLst>
                                </xdr:spPr>
                              </xdr:pic>
                              <xdr:grpSp>
                                <xdr:nvGrpSpPr>
                                  <xdr:cNvPr id="42" name="Group 41">
                                    <a:extLst>
                                      <a:ext uri="{FF2B5EF4-FFF2-40B4-BE49-F238E27FC236}">
                                        <a16:creationId xmlns:a16="http://schemas.microsoft.com/office/drawing/2014/main" id="{191F2B07-1056-2C67-D938-8204BBB9B7E2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14202460" y="518826"/>
                                    <a:ext cx="3195290" cy="4651297"/>
                                    <a:chOff x="14202460" y="518826"/>
                                    <a:chExt cx="3195290" cy="4651297"/>
                                  </a:xfrm>
                                </xdr:grpSpPr>
                                <xdr:pic>
                                  <xdr:nvPicPr>
                                    <xdr:cNvPr id="43" name="Imagem 2">
                                      <a:extLst>
                                        <a:ext uri="{FF2B5EF4-FFF2-40B4-BE49-F238E27FC236}">
                                          <a16:creationId xmlns:a16="http://schemas.microsoft.com/office/drawing/2014/main" id="{2BA07BCE-E5D2-CD82-3554-0ADFC33B8C26}"/>
                                        </a:ext>
                                      </a:extLst>
                                    </xdr:cNvPr>
                                    <xdr:cNvPicPr>
                                      <a:picLocks noChangeAspect="1" noChangeArrowheads="1"/>
                                    </xdr:cNvPicPr>
                                  </xdr:nvPicPr>
                                  <xdr:blipFill rotWithShape="1">
                                    <a:blip xmlns:r="http://schemas.openxmlformats.org/officeDocument/2006/relationships" r:embed="rId3">
                                      <a:extLst>
                                        <a:ext uri="{28A0092B-C50C-407E-A947-70E740481C1C}">
                                          <a14:useLocalDpi xmlns:a14="http://schemas.microsoft.com/office/drawing/2010/main" val="0"/>
                                        </a:ext>
                                      </a:extLst>
                                    </a:blip>
                                    <a:srcRect t="79275" b="-1"/>
                                    <a:stretch>
                                      <a:fillRect/>
                                    </a:stretch>
                                  </xdr:blipFill>
                                  <xdr:spPr bwMode="auto">
                                    <a:xfrm flipH="1" flipV="1">
                                      <a:off x="14202460" y="3102825"/>
                                      <a:ext cx="3195290" cy="460431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solidFill>
                                            <a:srgbClr val="FFFFFF"/>
                                          </a:solidFill>
                                        </a14:hiddenFill>
                                      </a:ext>
                                      <a:ext uri="{91240B29-F687-4F45-9708-019B960494DF}">
                                        <a14:hiddenLine xmlns:a14="http://schemas.microsoft.com/office/drawing/2010/main" w="9525">
                                          <a:solidFill>
                                            <a:srgbClr val="000000"/>
                                          </a:solidFill>
                                          <a:miter lim="800000"/>
                                          <a:headEnd/>
                                          <a:tailEnd/>
                                        </a14:hiddenLine>
                                      </a:ext>
                                    </a:extLst>
                                  </xdr:spPr>
                                </xdr:pic>
                                <xdr:cxnSp macro="">
                                  <xdr:nvCxnSpPr>
                                    <xdr:cNvPr id="44" name="Straight Connector 43">
                                      <a:extLst>
                                        <a:ext uri="{FF2B5EF4-FFF2-40B4-BE49-F238E27FC236}">
                                          <a16:creationId xmlns:a16="http://schemas.microsoft.com/office/drawing/2014/main" id="{2D14B663-6FD7-2693-EB74-BEFA2C9B777C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4803134" y="2929660"/>
                                      <a:ext cx="0" cy="2240463"/>
                                    </a:xfrm>
                                    <a:prstGeom prst="line">
                                      <a:avLst/>
                                    </a:prstGeom>
                                    <a:ln>
                                      <a:solidFill>
                                        <a:schemeClr val="accent3">
                                          <a:lumMod val="75000"/>
                                        </a:schemeClr>
                                      </a:solidFill>
                                      <a:prstDash val="dashDot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45" name="Straight Connector 44">
                                      <a:extLst>
                                        <a:ext uri="{FF2B5EF4-FFF2-40B4-BE49-F238E27FC236}">
                                          <a16:creationId xmlns:a16="http://schemas.microsoft.com/office/drawing/2014/main" id="{6A7B32C4-A8BC-ED32-6511-82603B9481A8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6139764" y="2914909"/>
                                      <a:ext cx="0" cy="2244808"/>
                                    </a:xfrm>
                                    <a:prstGeom prst="line">
                                      <a:avLst/>
                                    </a:prstGeom>
                                    <a:ln>
                                      <a:solidFill>
                                        <a:schemeClr val="accent3">
                                          <a:lumMod val="75000"/>
                                        </a:schemeClr>
                                      </a:solidFill>
                                      <a:prstDash val="dashDot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46" name="Straight Arrow Connector 45">
                                      <a:extLst>
                                        <a:ext uri="{FF2B5EF4-FFF2-40B4-BE49-F238E27FC236}">
                                          <a16:creationId xmlns:a16="http://schemas.microsoft.com/office/drawing/2014/main" id="{BE4D1E22-F6BD-07D3-2A4F-E44345050BC9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4818126" y="4986656"/>
                                      <a:ext cx="1313764" cy="0"/>
                                    </a:xfrm>
                                    <a:prstGeom prst="straightConnector1">
                                      <a:avLst/>
                                    </a:prstGeom>
                                    <a:ln>
                                      <a:solidFill>
                                        <a:schemeClr val="accent3">
                                          <a:lumMod val="75000"/>
                                        </a:schemeClr>
                                      </a:solidFill>
                                      <a:headEnd type="triangle"/>
                                      <a:tailEnd type="triangle"/>
                                    </a:ln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47" name="Straight Connector 46">
                                      <a:extLst>
                                        <a:ext uri="{FF2B5EF4-FFF2-40B4-BE49-F238E27FC236}">
                                          <a16:creationId xmlns:a16="http://schemas.microsoft.com/office/drawing/2014/main" id="{87A77728-82C6-859E-1F87-63140FF33580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4999451" y="518826"/>
                                      <a:ext cx="0" cy="4107966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48" name="Straight Connector 47">
                                      <a:extLst>
                                        <a:ext uri="{FF2B5EF4-FFF2-40B4-BE49-F238E27FC236}">
                                          <a16:creationId xmlns:a16="http://schemas.microsoft.com/office/drawing/2014/main" id="{77A278F7-4210-80F0-23B8-B4C99CA31C60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5469965" y="518826"/>
                                      <a:ext cx="0" cy="4106503"/>
                                    </a:xfrm>
                                    <a:prstGeom prst="line">
                                      <a:avLst/>
                                    </a:prstGeom>
                                  </xdr:spPr>
                                  <xdr:style>
                                    <a:lnRef idx="1">
                                      <a:schemeClr val="accent1"/>
                                    </a:lnRef>
                                    <a:fillRef idx="0">
                                      <a:schemeClr val="accent1"/>
                                    </a:fillRef>
                                    <a:effectRef idx="0">
                                      <a:schemeClr val="accent1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</xdr:cxnSp>
                                <xdr:sp macro="" textlink="">
                                  <xdr:nvSpPr>
                                    <xdr:cNvPr id="49" name="TextBox 48">
                                      <a:extLst>
                                        <a:ext uri="{FF2B5EF4-FFF2-40B4-BE49-F238E27FC236}">
                                          <a16:creationId xmlns:a16="http://schemas.microsoft.com/office/drawing/2014/main" id="{C070BF4D-9482-219D-CF03-F041E11D861C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15122667" y="4127759"/>
                                      <a:ext cx="212091" cy="171402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chemeClr val="lt1"/>
                                    </a:solidFill>
                                    <a:ln w="9525" cmpd="sng">
                                      <a:noFill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dk1"/>
                                    </a:fontRef>
                                  </xdr:style>
                                  <xdr:txBody>
                                    <a:bodyPr vertOverflow="clip" horzOverflow="clip" wrap="square" rtlCol="0" anchor="ctr"/>
                                    <a:lstStyle/>
                                    <a:p>
                                      <a:pPr algn="ctr"/>
                                      <a:r>
                                        <a:rPr kumimoji="1" lang="en-US" altLang="ja-JP" sz="1400" b="1">
                                          <a:solidFill>
                                            <a:srgbClr val="0070C0"/>
                                          </a:solidFill>
                                        </a:rPr>
                                        <a:t>T</a:t>
                                      </a:r>
                                      <a:endParaRPr kumimoji="1" lang="ja-JP" altLang="en-US" sz="1400" b="1">
                                        <a:solidFill>
                                          <a:srgbClr val="0070C0"/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50" name="Straight Connector 49">
                                      <a:extLst>
                                        <a:ext uri="{FF2B5EF4-FFF2-40B4-BE49-F238E27FC236}">
                                          <a16:creationId xmlns:a16="http://schemas.microsoft.com/office/drawing/2014/main" id="{DABFFFEE-B1EA-48CD-BA5E-1D6E41D21F6A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5607634" y="2999921"/>
                                      <a:ext cx="0" cy="1625332"/>
                                    </a:xfrm>
                                    <a:prstGeom prst="line">
                                      <a:avLst/>
                                    </a:prstGeom>
                                    <a:ln w="9525" cap="flat" cmpd="sng" algn="ctr">
                                      <a:solidFill>
                                        <a:schemeClr val="accent2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accent2"/>
                                    </a:fontRef>
                                  </xdr:style>
                                </xdr:cxnSp>
                                <xdr:cxnSp macro="">
                                  <xdr:nvCxnSpPr>
                                    <xdr:cNvPr id="51" name="Straight Connector 50">
                                      <a:extLst>
                                        <a:ext uri="{FF2B5EF4-FFF2-40B4-BE49-F238E27FC236}">
                                          <a16:creationId xmlns:a16="http://schemas.microsoft.com/office/drawing/2014/main" id="{4D07BCEC-E34F-23DA-0633-2F1D3DD9DE39}"/>
                                        </a:ext>
                                      </a:extLst>
                                    </xdr:cNvPr>
                                    <xdr:cNvCxnSpPr/>
                                  </xdr:nvCxnSpPr>
                                  <xdr:spPr>
                                    <a:xfrm>
                                      <a:off x="15923019" y="3024272"/>
                                      <a:ext cx="0" cy="1658132"/>
                                    </a:xfrm>
                                    <a:prstGeom prst="line">
                                      <a:avLst/>
                                    </a:prstGeom>
                                    <a:ln w="9525" cap="flat" cmpd="sng" algn="ctr">
                                      <a:solidFill>
                                        <a:schemeClr val="accent2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accent2"/>
                                    </a:fontRef>
                                  </xdr:style>
                                </xdr:cxnSp>
                                <xdr:sp macro="" textlink="">
                                  <xdr:nvSpPr>
                                    <xdr:cNvPr id="52" name="TextBox 51">
                                      <a:extLst>
                                        <a:ext uri="{FF2B5EF4-FFF2-40B4-BE49-F238E27FC236}">
                                          <a16:creationId xmlns:a16="http://schemas.microsoft.com/office/drawing/2014/main" id="{433446FB-4491-8059-4B7C-07DB9A7AAB71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15654707" y="4192452"/>
                                      <a:ext cx="212091" cy="171403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chemeClr val="lt1"/>
                                    </a:solidFill>
                                    <a:ln w="9525" cmpd="sng">
                                      <a:noFill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dk1"/>
                                    </a:fontRef>
                                  </xdr:style>
                                  <xdr:txBody>
                                    <a:bodyPr vertOverflow="clip" horzOverflow="clip" wrap="square" rtlCol="0" anchor="ctr"/>
                                    <a:lstStyle/>
                                    <a:p>
                                      <a:pPr algn="ctr"/>
                                      <a:r>
                                        <a:rPr kumimoji="1" lang="en-US" altLang="ja-JP" sz="1400" b="1">
                                          <a:solidFill>
                                            <a:schemeClr val="accent6">
                                              <a:lumMod val="75000"/>
                                            </a:schemeClr>
                                          </a:solidFill>
                                        </a:rPr>
                                        <a:t>T</a:t>
                                      </a:r>
                                      <a:endParaRPr kumimoji="1" lang="ja-JP" altLang="en-US" sz="1400" b="1">
                                        <a:solidFill>
                                          <a:schemeClr val="accent6">
                                            <a:lumMod val="75000"/>
                                          </a:schemeClr>
                                        </a:solidFill>
                                      </a:endParaRPr>
                                    </a:p>
                                  </xdr:txBody>
                                </xdr:sp>
                                <xdr:sp macro="" textlink="">
                                  <xdr:nvSpPr>
                                    <xdr:cNvPr id="53" name="TextBox 52">
                                      <a:extLst>
                                        <a:ext uri="{FF2B5EF4-FFF2-40B4-BE49-F238E27FC236}">
                                          <a16:creationId xmlns:a16="http://schemas.microsoft.com/office/drawing/2014/main" id="{FAE72670-A37D-6A7D-26AA-7DE64973CE9A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15436258" y="4341802"/>
                                      <a:ext cx="212091" cy="171402"/>
                                    </a:xfrm>
                                    <a:prstGeom prst="rect">
                                      <a:avLst/>
                                    </a:prstGeom>
                                    <a:solidFill>
                                      <a:schemeClr val="lt1"/>
                                    </a:solidFill>
                                    <a:ln w="9525" cmpd="sng">
                                      <a:noFill/>
                                    </a:ln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dk1"/>
                                    </a:fontRef>
                                  </xdr:style>
                                  <xdr:txBody>
                                    <a:bodyPr vertOverflow="clip" horzOverflow="clip" wrap="square" rtlCol="0" anchor="ctr"/>
                                    <a:lstStyle/>
                                    <a:p>
                                      <a:pPr algn="ctr"/>
                                      <a:r>
                                        <a:rPr kumimoji="1" lang="en-US" altLang="ja-JP" sz="1400" b="1">
                                          <a:solidFill>
                                            <a:srgbClr val="FF0000"/>
                                          </a:solidFill>
                                        </a:rPr>
                                        <a:t>R</a:t>
                                      </a:r>
                                      <a:endParaRPr kumimoji="1" lang="ja-JP" altLang="en-US" sz="1400" b="1">
                                        <a:solidFill>
                                          <a:srgbClr val="FF0000"/>
                                        </a:solidFill>
                                      </a:endParaRPr>
                                    </a:p>
                                  </xdr:txBody>
                                </xdr:sp>
                              </xdr:grpSp>
                            </xdr:grpSp>
                            <xdr:cxnSp macro="">
                              <xdr:nvCxnSpPr>
                                <xdr:cNvPr id="39" name="Straight Connector 38">
                                  <a:extLst>
                                    <a:ext uri="{FF2B5EF4-FFF2-40B4-BE49-F238E27FC236}">
                                      <a16:creationId xmlns:a16="http://schemas.microsoft.com/office/drawing/2014/main" id="{BFE817D5-6EFD-9C17-F137-F61329542F8D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7760685" y="3449224"/>
                                  <a:ext cx="15897" cy="274912"/>
                                </a:xfrm>
                                <a:prstGeom prst="line">
                                  <a:avLst/>
                                </a:prstGeom>
                                <a:ln w="12700"/>
                              </xdr:spPr>
                              <xdr:style>
                                <a:lnRef idx="1">
                                  <a:schemeClr val="dk1"/>
                                </a:lnRef>
                                <a:fillRef idx="0">
                                  <a:schemeClr val="dk1"/>
                                </a:fillRef>
                                <a:effectRef idx="0">
                                  <a:schemeClr val="dk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40" name="Straight Connector 39">
                                  <a:extLst>
                                    <a:ext uri="{FF2B5EF4-FFF2-40B4-BE49-F238E27FC236}">
                                      <a16:creationId xmlns:a16="http://schemas.microsoft.com/office/drawing/2014/main" id="{8E61C6F1-0D71-6FAD-4F98-8773C46AD063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 flipH="1">
                                  <a:off x="17232720" y="3446244"/>
                                  <a:ext cx="19355" cy="285185"/>
                                </a:xfrm>
                                <a:prstGeom prst="line">
                                  <a:avLst/>
                                </a:prstGeom>
                                <a:ln w="12700"/>
                              </xdr:spPr>
                              <xdr:style>
                                <a:lnRef idx="1">
                                  <a:schemeClr val="dk1"/>
                                </a:lnRef>
                                <a:fillRef idx="0">
                                  <a:schemeClr val="dk1"/>
                                </a:fillRef>
                                <a:effectRef idx="0">
                                  <a:schemeClr val="dk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</xdr:grpSp>
                          <xdr:cxnSp macro="">
                            <xdr:nvCxnSpPr>
                              <xdr:cNvPr id="36" name="Straight Arrow Connector 35">
                                <a:extLst>
                                  <a:ext uri="{FF2B5EF4-FFF2-40B4-BE49-F238E27FC236}">
                                    <a16:creationId xmlns:a16="http://schemas.microsoft.com/office/drawing/2014/main" id="{1F3FF85B-8B91-2E13-FD5D-A1B16C3FED30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16218571" y="4578950"/>
                                <a:ext cx="199853" cy="0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headEnd type="triangle"/>
                                <a:tailEnd type="triangle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  <xdr:cxnSp macro="">
                            <xdr:nvCxnSpPr>
                              <xdr:cNvPr id="37" name="Straight Arrow Connector 36">
                                <a:extLst>
                                  <a:ext uri="{FF2B5EF4-FFF2-40B4-BE49-F238E27FC236}">
                                    <a16:creationId xmlns:a16="http://schemas.microsoft.com/office/drawing/2014/main" id="{CC283695-1089-2DF8-6BBB-307B08B89FB1}"/>
                                  </a:ext>
                                </a:extLst>
                              </xdr:cNvPr>
                              <xdr:cNvCxnSpPr/>
                            </xdr:nvCxnSpPr>
                            <xdr:spPr>
                              <a:xfrm>
                                <a:off x="17348537" y="4596007"/>
                                <a:ext cx="232942" cy="0"/>
                              </a:xfrm>
                              <a:prstGeom prst="straightConnector1">
                                <a:avLst/>
                              </a:prstGeom>
                              <a:ln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headEnd type="triangle"/>
                                <a:tailEnd type="triangle"/>
                              </a:ln>
                            </xdr:spPr>
                            <xdr:style>
                              <a:lnRef idx="1">
                                <a:schemeClr val="accent1"/>
                              </a:lnRef>
                              <a:fillRef idx="0">
                                <a:schemeClr val="accent1"/>
                              </a:fillRef>
                              <a:effectRef idx="0">
                                <a:schemeClr val="accent1"/>
                              </a:effectRef>
                              <a:fontRef idx="minor">
                                <a:schemeClr val="tx1"/>
                              </a:fontRef>
                            </xdr:style>
                          </xdr:cxnSp>
                        </xdr:grpSp>
                        <xdr:sp macro="" textlink="">
                          <xdr:nvSpPr>
                            <xdr:cNvPr id="33" name="TextBox 32">
                              <a:extLst>
                                <a:ext uri="{FF2B5EF4-FFF2-40B4-BE49-F238E27FC236}">
                                  <a16:creationId xmlns:a16="http://schemas.microsoft.com/office/drawing/2014/main" id="{578A79B8-FEFA-AA5B-C279-C224DD452BD7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17270330" y="4491430"/>
                              <a:ext cx="353276" cy="161608"/>
                            </a:xfrm>
                            <a:prstGeom prst="rect">
                              <a:avLst/>
                            </a:prstGeom>
                            <a:solidFill>
                              <a:schemeClr val="lt1"/>
                            </a:solidFill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pPr algn="ctr"/>
                              <a:r>
                                <a:rPr kumimoji="1" lang="en-US" altLang="ja-JP" sz="1400" b="1">
                                  <a:solidFill>
                                    <a:schemeClr val="accent5">
                                      <a:lumMod val="60000"/>
                                      <a:lumOff val="40000"/>
                                    </a:schemeClr>
                                  </a:solidFill>
                                </a:rPr>
                                <a:t>Y0</a:t>
                              </a:r>
                              <a:endParaRPr kumimoji="1" lang="ja-JP" altLang="en-US" sz="1400" b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34" name="TextBox 33">
                              <a:extLst>
                                <a:ext uri="{FF2B5EF4-FFF2-40B4-BE49-F238E27FC236}">
                                  <a16:creationId xmlns:a16="http://schemas.microsoft.com/office/drawing/2014/main" id="{7AEDA731-8590-AD5A-63A5-1E44F136F54F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16773111" y="4850660"/>
                              <a:ext cx="324086" cy="168509"/>
                            </a:xfrm>
                            <a:prstGeom prst="rect">
                              <a:avLst/>
                            </a:prstGeom>
                            <a:solidFill>
                              <a:schemeClr val="lt1"/>
                            </a:solidFill>
                            <a:ln w="9525" cmpd="sng">
                              <a:noFill/>
                            </a:ln>
                          </xdr:spPr>
                          <xdr:style>
                            <a:lnRef idx="0">
                              <a:scrgbClr r="0" g="0" b="0"/>
                            </a:lnRef>
                            <a:fillRef idx="0">
                              <a:scrgbClr r="0" g="0" b="0"/>
                            </a:fillRef>
                            <a:effectRef idx="0">
                              <a:scrgbClr r="0" g="0" b="0"/>
                            </a:effectRef>
                            <a:fontRef idx="minor">
                              <a:schemeClr val="dk1"/>
                            </a:fontRef>
                          </xdr:style>
                          <xdr:txBody>
                            <a:bodyPr vertOverflow="clip" horzOverflow="clip" wrap="square" rtlCol="0" anchor="ctr"/>
                            <a:lstStyle/>
                            <a:p>
                              <a:pPr algn="ctr"/>
                              <a:r>
                                <a:rPr kumimoji="1" lang="en-US" altLang="ja-JP" sz="1400" b="1">
                                  <a:solidFill>
                                    <a:schemeClr val="accent3">
                                      <a:lumMod val="75000"/>
                                    </a:schemeClr>
                                  </a:solidFill>
                                </a:rPr>
                                <a:t>Z0</a:t>
                              </a:r>
                              <a:endParaRPr kumimoji="1" lang="ja-JP" altLang="en-US" sz="1400" b="1">
                                <a:solidFill>
                                  <a:schemeClr val="accent3">
                                    <a:lumMod val="75000"/>
                                  </a:schemeClr>
                                </a:solidFill>
                              </a:endParaRPr>
                            </a:p>
                          </xdr:txBody>
                        </xdr:sp>
                      </xdr:grpSp>
                      <xdr:cxnSp macro="">
                        <xdr:nvCxnSpPr>
                          <xdr:cNvPr id="28" name="Straight Connector 27">
                            <a:extLst>
                              <a:ext uri="{FF2B5EF4-FFF2-40B4-BE49-F238E27FC236}">
                                <a16:creationId xmlns:a16="http://schemas.microsoft.com/office/drawing/2014/main" id="{CF89E2DB-8128-B97A-2679-E9DE471A40C5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5303310" y="3497084"/>
                            <a:ext cx="0" cy="2044820"/>
                          </a:xfrm>
                          <a:prstGeom prst="line">
                            <a:avLst/>
                          </a:prstGeom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29" name="Straight Connector 28">
                            <a:extLst>
                              <a:ext uri="{FF2B5EF4-FFF2-40B4-BE49-F238E27FC236}">
                                <a16:creationId xmlns:a16="http://schemas.microsoft.com/office/drawing/2014/main" id="{1206E5C4-74AB-7380-E61D-4AB89F6648DE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5276607" y="3494805"/>
                            <a:ext cx="0" cy="2044820"/>
                          </a:xfrm>
                          <a:prstGeom prst="line">
                            <a:avLst/>
                          </a:prstGeom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sp macro="" textlink="">
                        <xdr:nvSpPr>
                          <xdr:cNvPr id="30" name="TextBox 29">
                            <a:extLst>
                              <a:ext uri="{FF2B5EF4-FFF2-40B4-BE49-F238E27FC236}">
                                <a16:creationId xmlns:a16="http://schemas.microsoft.com/office/drawing/2014/main" id="{E3252063-A83D-61C6-A716-8D785FCCBAED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5132706" y="5614058"/>
                            <a:ext cx="333890" cy="122711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 w="9525" cmpd="sng">
                            <a:noFill/>
                          </a:ln>
                        </xdr:spPr>
                        <xdr:style>
                          <a:lnRef idx="0">
                            <a:scrgbClr r="0" g="0" b="0"/>
                          </a:lnRef>
                          <a:fillRef idx="0">
                            <a:scrgbClr r="0" g="0" b="0"/>
                          </a:fillRef>
                          <a:effectRef idx="0">
                            <a:scrgbClr r="0" g="0" b="0"/>
                          </a:effectRef>
                          <a:fontRef idx="minor">
                            <a:schemeClr val="dk1"/>
                          </a:fontRef>
                        </xdr:style>
                        <xdr:txBody>
                          <a:bodyPr vertOverflow="clip" horzOverflow="clip" wrap="square" rtlCol="0" anchor="ctr"/>
                          <a:lstStyle/>
                          <a:p>
                            <a:pPr algn="ctr"/>
                            <a:r>
                              <a:rPr kumimoji="1" lang="en-US" altLang="ja-JP" sz="1400" b="0" cap="none" spc="0">
                                <a:ln w="0"/>
                                <a:solidFill>
                                  <a:schemeClr val="accent1"/>
                                </a:solidFill>
                                <a:effectLst>
                                  <a:outerShdw blurRad="38100" dist="25400" dir="5400000" algn="ctr" rotWithShape="0">
                                    <a:srgbClr val="6E747A">
                                      <a:alpha val="43000"/>
                                    </a:srgbClr>
                                  </a:outerShdw>
                                </a:effectLst>
                              </a:rPr>
                              <a:t>X0</a:t>
                            </a:r>
                          </a:p>
                        </xdr:txBody>
                      </xdr:sp>
                      <xdr:cxnSp macro="">
                        <xdr:nvCxnSpPr>
                          <xdr:cNvPr id="31" name="Straight Arrow Connector 30">
                            <a:extLst>
                              <a:ext uri="{FF2B5EF4-FFF2-40B4-BE49-F238E27FC236}">
                                <a16:creationId xmlns:a16="http://schemas.microsoft.com/office/drawing/2014/main" id="{926D74A8-EA87-ABDF-7DC4-FBF070E8FD0D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15277748" y="5268111"/>
                            <a:ext cx="1133216" cy="0"/>
                          </a:xfrm>
                          <a:prstGeom prst="straightConnector1">
                            <a:avLst/>
                          </a:prstGeom>
                          <a:ln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headEnd type="triangle"/>
                            <a:tailEnd type="triangle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sp macro="" textlink="">
                      <xdr:nvSpPr>
                        <xdr:cNvPr id="26" name="TextBox 25">
                          <a:extLst>
                            <a:ext uri="{FF2B5EF4-FFF2-40B4-BE49-F238E27FC236}">
                              <a16:creationId xmlns:a16="http://schemas.microsoft.com/office/drawing/2014/main" id="{4CDD789A-5E73-C51A-E686-A78BC8343286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5731366" y="5184422"/>
                          <a:ext cx="371551" cy="148045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pPr algn="ctr"/>
                          <a:r>
                            <a:rPr kumimoji="1" lang="en-US" altLang="ja-JP" sz="1400" b="0" cap="none" spc="0">
                              <a:ln w="0"/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effectLst>
                                <a:outerShdw blurRad="38100" dist="25400" dir="5400000" algn="ctr" rotWithShape="0">
                                  <a:srgbClr val="6E747A">
                                    <a:alpha val="43000"/>
                                  </a:srgbClr>
                                </a:outerShdw>
                              </a:effectLst>
                            </a:rPr>
                            <a:t>W0</a:t>
                          </a:r>
                        </a:p>
                      </xdr:txBody>
                    </xdr:sp>
                  </xdr:grpSp>
                  <xdr:sp macro="" textlink="">
                    <xdr:nvSpPr>
                      <xdr:cNvPr id="24" name="TextBox 23">
                        <a:extLst>
                          <a:ext uri="{FF2B5EF4-FFF2-40B4-BE49-F238E27FC236}">
                            <a16:creationId xmlns:a16="http://schemas.microsoft.com/office/drawing/2014/main" id="{0E8432F8-5306-9A5E-DE86-6B80BF48147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319605" y="4878448"/>
                        <a:ext cx="359880" cy="15418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pPr algn="ctr"/>
                        <a:r>
                          <a:rPr kumimoji="1" lang="en-US" altLang="ja-JP" sz="1400" b="1">
                            <a:solidFill>
                              <a:schemeClr val="accent5">
                                <a:lumMod val="60000"/>
                                <a:lumOff val="40000"/>
                              </a:schemeClr>
                            </a:solidFill>
                          </a:rPr>
                          <a:t>Y0</a:t>
                        </a:r>
                        <a:endParaRPr kumimoji="1" lang="ja-JP" altLang="en-US" sz="1400" b="1">
                          <a:solidFill>
                            <a:schemeClr val="accent5">
                              <a:lumMod val="60000"/>
                              <a:lumOff val="40000"/>
                            </a:schemeClr>
                          </a:solidFill>
                        </a:endParaRPr>
                      </a:p>
                    </xdr:txBody>
                  </xdr:sp>
                </xdr:grpSp>
                <xdr:sp macro="" textlink="">
                  <xdr:nvSpPr>
                    <xdr:cNvPr id="21" name="Arc 20">
                      <a:extLst>
                        <a:ext uri="{FF2B5EF4-FFF2-40B4-BE49-F238E27FC236}">
                          <a16:creationId xmlns:a16="http://schemas.microsoft.com/office/drawing/2014/main" id="{488CBE35-5920-BBC6-062C-675E4D67DEC5}"/>
                        </a:ext>
                      </a:extLst>
                    </xdr:cNvPr>
                    <xdr:cNvSpPr/>
                  </xdr:nvSpPr>
                  <xdr:spPr>
                    <a:xfrm>
                      <a:off x="2056744" y="4039172"/>
                      <a:ext cx="45702" cy="246280"/>
                    </a:xfrm>
                    <a:prstGeom prst="arc">
                      <a:avLst>
                        <a:gd name="adj1" fmla="val 16200000"/>
                        <a:gd name="adj2" fmla="val 5426848"/>
                      </a:avLst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  <xdr:sp macro="" textlink="">
                  <xdr:nvSpPr>
                    <xdr:cNvPr id="22" name="Arc 21">
                      <a:extLst>
                        <a:ext uri="{FF2B5EF4-FFF2-40B4-BE49-F238E27FC236}">
                          <a16:creationId xmlns:a16="http://schemas.microsoft.com/office/drawing/2014/main" id="{EE6EF9E3-652C-BA2B-1F68-AB381FCACF28}"/>
                        </a:ext>
                      </a:extLst>
                    </xdr:cNvPr>
                    <xdr:cNvSpPr/>
                  </xdr:nvSpPr>
                  <xdr:spPr>
                    <a:xfrm rot="10800000">
                      <a:off x="2543238" y="4037021"/>
                      <a:ext cx="45702" cy="235737"/>
                    </a:xfrm>
                    <a:prstGeom prst="arc">
                      <a:avLst>
                        <a:gd name="adj1" fmla="val 16200000"/>
                        <a:gd name="adj2" fmla="val 5426848"/>
                      </a:avLst>
                    </a:prstGeom>
                  </xdr:spPr>
                  <xdr:style>
                    <a:lnRef idx="1">
                      <a:schemeClr val="dk1"/>
                    </a:lnRef>
                    <a:fillRef idx="0">
                      <a:schemeClr val="dk1"/>
                    </a:fillRef>
                    <a:effectRef idx="0">
                      <a:schemeClr val="dk1"/>
                    </a:effectRef>
                    <a:fontRef idx="minor">
                      <a:schemeClr val="tx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kumimoji="1" lang="ja-JP" altLang="en-US" sz="1100"/>
                    </a:p>
                  </xdr:txBody>
                </xdr:sp>
              </xdr:grpSp>
              <xdr:cxnSp macro="">
                <xdr:nvCxnSpPr>
                  <xdr:cNvPr id="17" name="Straight Arrow Connector 16">
                    <a:extLst>
                      <a:ext uri="{FF2B5EF4-FFF2-40B4-BE49-F238E27FC236}">
                        <a16:creationId xmlns:a16="http://schemas.microsoft.com/office/drawing/2014/main" id="{B42A789D-0881-B152-37A8-85B7FABE965D}"/>
                      </a:ext>
                    </a:extLst>
                  </xdr:cNvPr>
                  <xdr:cNvCxnSpPr/>
                </xdr:nvCxnSpPr>
                <xdr:spPr>
                  <a:xfrm>
                    <a:off x="3370168" y="4646309"/>
                    <a:ext cx="394103" cy="0"/>
                  </a:xfrm>
                  <a:prstGeom prst="straightConnector1">
                    <a:avLst/>
                  </a:prstGeom>
                  <a:ln>
                    <a:solidFill>
                      <a:schemeClr val="accent5"/>
                    </a:solidFill>
                    <a:headEnd type="triangle"/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" name="Straight Connector 17">
                    <a:extLst>
                      <a:ext uri="{FF2B5EF4-FFF2-40B4-BE49-F238E27FC236}">
                        <a16:creationId xmlns:a16="http://schemas.microsoft.com/office/drawing/2014/main" id="{8797F21C-C300-A5EA-F79B-6A0514EA45CE}"/>
                      </a:ext>
                    </a:extLst>
                  </xdr:cNvPr>
                  <xdr:cNvCxnSpPr/>
                </xdr:nvCxnSpPr>
                <xdr:spPr>
                  <a:xfrm>
                    <a:off x="3761910" y="3375421"/>
                    <a:ext cx="0" cy="1575961"/>
                  </a:xfrm>
                  <a:prstGeom prst="line">
                    <a:avLst/>
                  </a:prstGeom>
                  <a:ln w="9525" cap="flat" cmpd="sng" algn="ctr">
                    <a:solidFill>
                      <a:schemeClr val="accent2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accent2"/>
                  </a:fontRef>
                </xdr:style>
              </xdr:cxnSp>
              <xdr:sp macro="" textlink="">
                <xdr:nvSpPr>
                  <xdr:cNvPr id="19" name="TextBox 18">
                    <a:extLst>
                      <a:ext uri="{FF2B5EF4-FFF2-40B4-BE49-F238E27FC236}">
                        <a16:creationId xmlns:a16="http://schemas.microsoft.com/office/drawing/2014/main" id="{41CDA805-82EC-7B43-4D16-89F88F199F4C}"/>
                      </a:ext>
                    </a:extLst>
                  </xdr:cNvPr>
                  <xdr:cNvSpPr txBox="1"/>
                </xdr:nvSpPr>
                <xdr:spPr>
                  <a:xfrm>
                    <a:off x="3410676" y="4450836"/>
                    <a:ext cx="339330" cy="163061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kumimoji="1" lang="en-US" altLang="ja-JP" sz="1000" b="1">
                        <a:solidFill>
                          <a:schemeClr val="accent5"/>
                        </a:solidFill>
                      </a:rPr>
                      <a:t>H0</a:t>
                    </a:r>
                    <a:endParaRPr kumimoji="1" lang="ja-JP" altLang="en-US" sz="1000" b="1">
                      <a:solidFill>
                        <a:schemeClr val="accent5"/>
                      </a:solidFill>
                    </a:endParaRPr>
                  </a:p>
                </xdr:txBody>
              </xdr:sp>
            </xdr:grpSp>
          </xdr:grp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4DE73956-BDDA-E82E-97D7-B146A677A78E}"/>
                  </a:ext>
                </a:extLst>
              </xdr:cNvPr>
              <xdr:cNvSpPr txBox="1"/>
            </xdr:nvSpPr>
            <xdr:spPr>
              <a:xfrm>
                <a:off x="11699348" y="3236656"/>
                <a:ext cx="2392580" cy="270969"/>
              </a:xfrm>
              <a:prstGeom prst="rect">
                <a:avLst/>
              </a:prstGeom>
              <a:ln/>
            </xdr:spPr>
            <xdr:style>
              <a:lnRef idx="3">
                <a:schemeClr val="lt1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r>
                  <a:rPr kumimoji="1" lang="en-US" altLang="ja-JP" sz="1100"/>
                  <a:t>Assembled</a:t>
                </a:r>
                <a:r>
                  <a:rPr kumimoji="1" lang="en-US" altLang="ja-JP" sz="1100" baseline="0"/>
                  <a:t> View (Upper &amp; Lower plates)</a:t>
                </a:r>
                <a:endParaRPr kumimoji="1" lang="ja-JP" altLang="en-US" sz="1100"/>
              </a:p>
            </xdr:txBody>
          </xdr:sp>
        </xdr:grpSp>
      </xdr:grpSp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E3EA629C-FB55-EFD2-F5CB-85ACBEA8D638}"/>
              </a:ext>
            </a:extLst>
          </xdr:cNvPr>
          <xdr:cNvSpPr/>
        </xdr:nvSpPr>
        <xdr:spPr>
          <a:xfrm>
            <a:off x="15871242" y="879554"/>
            <a:ext cx="459810" cy="452830"/>
          </a:xfrm>
          <a:prstGeom prst="ellipse">
            <a:avLst/>
          </a:prstGeom>
          <a:noFill/>
          <a:ln w="1270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0.14087</cdr:x>
      <cdr:y>0.69993</cdr:y>
    </cdr:from>
    <cdr:to>
      <cdr:x>0.95487</cdr:x>
      <cdr:y>0.69993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98BBC0A5-DA74-F1C6-530B-14D50F8CA80F}"/>
            </a:ext>
          </a:extLst>
        </cdr:cNvPr>
        <cdr:cNvCxnSpPr/>
      </cdr:nvCxnSpPr>
      <cdr:spPr>
        <a:xfrm xmlns:a="http://schemas.openxmlformats.org/drawingml/2006/main">
          <a:off x="639096" y="1788381"/>
          <a:ext cx="3692928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0.35161</cdr:x>
      <cdr:y>0.57839</cdr:y>
    </cdr:from>
    <cdr:to>
      <cdr:x>0.82959</cdr:x>
      <cdr:y>0.66723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1D4B77D-191B-A197-A250-53BC4FC98DE1}"/>
            </a:ext>
          </a:extLst>
        </cdr:cNvPr>
        <cdr:cNvSpPr txBox="1"/>
      </cdr:nvSpPr>
      <cdr:spPr>
        <a:xfrm xmlns:a="http://schemas.openxmlformats.org/drawingml/2006/main">
          <a:off x="1591471" y="1490083"/>
          <a:ext cx="2163430" cy="2288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ja-JP" altLang="en-US" sz="1100" kern="1200">
              <a:solidFill>
                <a:srgbClr val="00B050"/>
              </a:solidFill>
            </a:rPr>
            <a:t>残存ストローク基準３０ｍｍ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wopi/files/2445525580695/WOPIServiceId_TP_BOX_2/WOPIUserId_-/LadlePLsCheckTemplate.xlsx" TargetMode="External"/><Relationship Id="rId1" Type="http://schemas.openxmlformats.org/officeDocument/2006/relationships/externalLinkPath" Target="https://api.box.com/wopi/files/2445525580695/WOPIServiceId_TP_BOX_2/WOPIUserId_-/LadlePLsCheck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ra Basics"/>
      <sheetName val="Operating records"/>
      <sheetName val="Linear PL "/>
      <sheetName val="Rotary PL"/>
      <sheetName val="Linear PL Visualization"/>
      <sheetName val="UN Images"/>
      <sheetName val="Operational Data Example"/>
      <sheetName val="Refra Cycle at CSN"/>
    </sheetNames>
    <sheetDataSet>
      <sheetData sheetId="0"/>
      <sheetData sheetId="1"/>
      <sheetData sheetId="2">
        <row r="79">
          <cell r="G79">
            <v>1</v>
          </cell>
          <cell r="H79">
            <v>149</v>
          </cell>
          <cell r="T79">
            <v>1</v>
          </cell>
          <cell r="U79">
            <v>3</v>
          </cell>
          <cell r="V79">
            <v>4</v>
          </cell>
        </row>
        <row r="80">
          <cell r="G80">
            <v>1</v>
          </cell>
          <cell r="H80">
            <v>153</v>
          </cell>
          <cell r="T80">
            <v>1</v>
          </cell>
          <cell r="U80">
            <v>2</v>
          </cell>
          <cell r="V80">
            <v>1</v>
          </cell>
        </row>
        <row r="81">
          <cell r="G81">
            <v>1</v>
          </cell>
          <cell r="H81">
            <v>150</v>
          </cell>
          <cell r="T81">
            <v>1</v>
          </cell>
          <cell r="U81">
            <v>3</v>
          </cell>
          <cell r="V81">
            <v>3</v>
          </cell>
        </row>
        <row r="82">
          <cell r="G82">
            <v>2</v>
          </cell>
          <cell r="H82">
            <v>137</v>
          </cell>
          <cell r="T82">
            <v>2</v>
          </cell>
          <cell r="U82">
            <v>15</v>
          </cell>
          <cell r="V82">
            <v>4</v>
          </cell>
        </row>
        <row r="83">
          <cell r="G83">
            <v>3</v>
          </cell>
          <cell r="H83">
            <v>149</v>
          </cell>
          <cell r="T83">
            <v>3</v>
          </cell>
          <cell r="U83">
            <v>4</v>
          </cell>
          <cell r="V83">
            <v>3</v>
          </cell>
        </row>
        <row r="84">
          <cell r="G84">
            <v>6</v>
          </cell>
          <cell r="H84">
            <v>138</v>
          </cell>
          <cell r="T84">
            <v>6</v>
          </cell>
          <cell r="U84">
            <v>5</v>
          </cell>
          <cell r="V84">
            <v>13</v>
          </cell>
        </row>
        <row r="85">
          <cell r="G85">
            <v>6</v>
          </cell>
          <cell r="H85">
            <v>141</v>
          </cell>
          <cell r="T85">
            <v>6</v>
          </cell>
          <cell r="U85">
            <v>7</v>
          </cell>
          <cell r="V85">
            <v>8</v>
          </cell>
        </row>
        <row r="86">
          <cell r="G86">
            <v>6</v>
          </cell>
          <cell r="H86">
            <v>139</v>
          </cell>
          <cell r="T86">
            <v>6</v>
          </cell>
          <cell r="U86">
            <v>5</v>
          </cell>
          <cell r="V86">
            <v>12</v>
          </cell>
        </row>
        <row r="87">
          <cell r="G87">
            <v>2</v>
          </cell>
          <cell r="H87">
            <v>147</v>
          </cell>
          <cell r="T87">
            <v>2</v>
          </cell>
          <cell r="U87">
            <v>6</v>
          </cell>
          <cell r="V87">
            <v>3</v>
          </cell>
        </row>
        <row r="88">
          <cell r="G88">
            <v>6</v>
          </cell>
          <cell r="H88">
            <v>125</v>
          </cell>
          <cell r="T88">
            <v>6</v>
          </cell>
          <cell r="U88">
            <v>18</v>
          </cell>
          <cell r="V88">
            <v>13</v>
          </cell>
        </row>
        <row r="89">
          <cell r="G89">
            <v>3</v>
          </cell>
          <cell r="H89">
            <v>126</v>
          </cell>
          <cell r="T89">
            <v>3</v>
          </cell>
          <cell r="U89">
            <v>17</v>
          </cell>
          <cell r="V89">
            <v>13</v>
          </cell>
        </row>
        <row r="90">
          <cell r="G90">
            <v>2</v>
          </cell>
          <cell r="H90">
            <v>145</v>
          </cell>
          <cell r="T90">
            <v>2</v>
          </cell>
          <cell r="U90">
            <v>1</v>
          </cell>
          <cell r="V90">
            <v>10</v>
          </cell>
        </row>
        <row r="91">
          <cell r="G91">
            <v>3</v>
          </cell>
          <cell r="H91">
            <v>130</v>
          </cell>
          <cell r="T91">
            <v>3</v>
          </cell>
          <cell r="U91">
            <v>8</v>
          </cell>
          <cell r="V91">
            <v>18</v>
          </cell>
        </row>
        <row r="92">
          <cell r="G92">
            <v>3</v>
          </cell>
          <cell r="H92">
            <v>136</v>
          </cell>
          <cell r="T92">
            <v>3</v>
          </cell>
          <cell r="U92">
            <v>16</v>
          </cell>
          <cell r="V92">
            <v>4</v>
          </cell>
        </row>
        <row r="93">
          <cell r="G93">
            <v>4</v>
          </cell>
          <cell r="H93">
            <v>147</v>
          </cell>
          <cell r="T93">
            <v>4</v>
          </cell>
          <cell r="U93">
            <v>3</v>
          </cell>
          <cell r="V93">
            <v>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43A8-29C3-40F8-83D7-6ACF7EAD22C1}">
  <sheetPr>
    <pageSetUpPr fitToPage="1"/>
  </sheetPr>
  <dimension ref="B1:W137"/>
  <sheetViews>
    <sheetView tabSelected="1" zoomScaleNormal="100" workbookViewId="0">
      <selection activeCell="B23" sqref="B23"/>
    </sheetView>
  </sheetViews>
  <sheetFormatPr defaultRowHeight="13.5"/>
  <cols>
    <col min="1" max="4" width="8.75" customWidth="1"/>
    <col min="5" max="5" width="15.75" customWidth="1"/>
    <col min="6" max="6" width="13.5" style="2" customWidth="1"/>
    <col min="7" max="7" width="13.5" style="1" customWidth="1"/>
    <col min="8" max="8" width="8.625" style="1" bestFit="1" customWidth="1"/>
    <col min="9" max="9" width="12.5" style="1" bestFit="1" customWidth="1"/>
    <col min="10" max="10" width="8.625" style="1" bestFit="1" customWidth="1"/>
    <col min="11" max="11" width="11.125" style="1" bestFit="1" customWidth="1"/>
    <col min="12" max="12" width="9.875" style="1" bestFit="1" customWidth="1"/>
    <col min="13" max="13" width="9.375" bestFit="1" customWidth="1"/>
    <col min="14" max="14" width="19.25" bestFit="1" customWidth="1"/>
    <col min="15" max="15" width="9.375" customWidth="1"/>
    <col min="16" max="16" width="15.375" style="117" bestFit="1" customWidth="1"/>
    <col min="17" max="17" width="33.375" style="136" customWidth="1"/>
    <col min="24" max="24" width="15.375" bestFit="1" customWidth="1"/>
  </cols>
  <sheetData>
    <row r="1" spans="2:23" ht="14.25" thickBot="1">
      <c r="F1" s="2">
        <v>400</v>
      </c>
      <c r="G1" s="2">
        <v>31</v>
      </c>
      <c r="H1" s="2"/>
      <c r="I1" s="2">
        <v>352</v>
      </c>
      <c r="J1" s="2"/>
      <c r="K1" s="2">
        <v>180</v>
      </c>
      <c r="L1" s="2"/>
      <c r="M1" s="2"/>
      <c r="R1" s="137" t="s">
        <v>271</v>
      </c>
      <c r="S1" s="137"/>
      <c r="T1" s="137"/>
      <c r="U1" s="137"/>
      <c r="V1" s="137"/>
      <c r="W1" s="137"/>
    </row>
    <row r="2" spans="2:23" s="2" customFormat="1" ht="27.75" thickBot="1">
      <c r="F2" s="138" t="s">
        <v>272</v>
      </c>
      <c r="G2" s="139" t="s">
        <v>273</v>
      </c>
      <c r="H2" s="139" t="s">
        <v>274</v>
      </c>
      <c r="I2" s="139" t="s">
        <v>275</v>
      </c>
      <c r="J2" s="139" t="s">
        <v>274</v>
      </c>
      <c r="K2" s="140" t="s">
        <v>276</v>
      </c>
      <c r="L2" s="139" t="s">
        <v>274</v>
      </c>
      <c r="M2" s="139" t="s">
        <v>277</v>
      </c>
      <c r="N2" s="141" t="s">
        <v>278</v>
      </c>
      <c r="O2" s="140" t="s">
        <v>279</v>
      </c>
      <c r="P2" s="142" t="s">
        <v>280</v>
      </c>
      <c r="Q2" s="141" t="s">
        <v>281</v>
      </c>
      <c r="R2" s="143" t="s">
        <v>282</v>
      </c>
      <c r="S2" s="143" t="s">
        <v>283</v>
      </c>
      <c r="T2" s="143" t="s">
        <v>284</v>
      </c>
      <c r="U2" s="143" t="s">
        <v>285</v>
      </c>
      <c r="V2" s="143" t="s">
        <v>286</v>
      </c>
      <c r="W2" s="144" t="s">
        <v>287</v>
      </c>
    </row>
    <row r="3" spans="2:23">
      <c r="F3" s="145" t="s">
        <v>288</v>
      </c>
      <c r="G3" s="146" t="s">
        <v>289</v>
      </c>
      <c r="H3" s="147" t="str" cm="1">
        <f t="array" ref="H3">IF(LEFT(G3,6)=LEFT(G4,6),"",SUM(_xlfn._xlws.FILTER($M$3:$M$976,LEFT($G$3:$G$976,6)=LEFT(G3,6))))</f>
        <v/>
      </c>
      <c r="I3" s="147" t="s">
        <v>290</v>
      </c>
      <c r="J3" s="147" cm="1">
        <f t="array" ref="J3">IF(LEFT(I3,6)=LEFT(I4,6),"",SUM(_xlfn._xlws.FILTER($M$3:$M$976,LEFT($I$3:$I$976,6)=LEFT(I3,6))))</f>
        <v>46</v>
      </c>
      <c r="K3" s="147" t="s">
        <v>291</v>
      </c>
      <c r="L3" s="147" cm="1">
        <f t="array" ref="L3">IF(LEFT(K3,6)=LEFT(K4,6),"",SUM(_xlfn._xlws.FILTER($M$3:$M$976,LEFT($K$3:$K$976,6)=LEFT(K3,6))))</f>
        <v>46</v>
      </c>
      <c r="M3" s="148">
        <v>46</v>
      </c>
      <c r="N3" s="148" t="s">
        <v>292</v>
      </c>
      <c r="O3" s="149" t="s">
        <v>171</v>
      </c>
      <c r="P3" s="148"/>
      <c r="Q3" s="150"/>
      <c r="R3" s="151">
        <v>8.5999999999999993E-2</v>
      </c>
      <c r="S3" s="151">
        <v>1.2E-2</v>
      </c>
      <c r="T3" s="151">
        <v>0.56100000000000005</v>
      </c>
      <c r="U3" s="151">
        <v>3.4000000000000002E-2</v>
      </c>
      <c r="V3" s="151">
        <v>1.4E-2</v>
      </c>
      <c r="W3" s="148">
        <v>1E-4</v>
      </c>
    </row>
    <row r="4" spans="2:23">
      <c r="B4" s="152" t="s">
        <v>293</v>
      </c>
      <c r="F4" s="153" t="s">
        <v>294</v>
      </c>
      <c r="G4" s="154" t="s">
        <v>295</v>
      </c>
      <c r="H4" s="135" t="str" cm="1">
        <f t="array" ref="H4">IF(LEFT(G4,6)=LEFT(G5,6),"",SUM(_xlfn._xlws.FILTER($M$3:$M$976,LEFT($G$3:$G$976,6)=LEFT(G4,6))))</f>
        <v/>
      </c>
      <c r="I4" s="135" t="s">
        <v>296</v>
      </c>
      <c r="J4" s="135" cm="1">
        <f t="array" ref="J4">IF(LEFT(I4,6)=LEFT(I5,6),"",SUM(_xlfn._xlws.FILTER($M$3:$M$976,LEFT($I$3:$I$976,6)=LEFT(I4,6))))</f>
        <v>45</v>
      </c>
      <c r="K4" s="135" t="s">
        <v>297</v>
      </c>
      <c r="L4" s="135" cm="1">
        <f t="array" ref="L4">IF(LEFT(K4,6)=LEFT(K5,6),"",SUM(_xlfn._xlws.FILTER($M$3:$M$976,LEFT($K$3:$K$976,6)=LEFT(K4,6))))</f>
        <v>45</v>
      </c>
      <c r="M4" s="126">
        <v>45</v>
      </c>
      <c r="N4" s="126" t="s">
        <v>292</v>
      </c>
      <c r="O4" s="155" t="s">
        <v>171</v>
      </c>
      <c r="P4" s="126"/>
      <c r="Q4" s="156"/>
      <c r="R4" s="157">
        <v>8.2000000000000003E-2</v>
      </c>
      <c r="S4" s="157">
        <v>1.2E-2</v>
      </c>
      <c r="T4" s="157">
        <v>0.52500000000000002</v>
      </c>
      <c r="U4" s="157">
        <v>4.2000000000000003E-2</v>
      </c>
      <c r="V4" s="157">
        <v>1.2999999999999999E-2</v>
      </c>
      <c r="W4" s="126" t="s">
        <v>298</v>
      </c>
    </row>
    <row r="5" spans="2:23">
      <c r="F5" s="153" t="s">
        <v>299</v>
      </c>
      <c r="G5" s="154" t="s">
        <v>300</v>
      </c>
      <c r="H5" s="135" t="str" cm="1">
        <f t="array" ref="H5">IF(LEFT(G5,6)=LEFT(G6,6),"",SUM(_xlfn._xlws.FILTER($M$3:$M$976,LEFT($G$3:$G$976,6)=LEFT(G5,6))))</f>
        <v/>
      </c>
      <c r="I5" s="135" t="s">
        <v>301</v>
      </c>
      <c r="J5" s="135" cm="1">
        <f t="array" ref="J5">IF(LEFT(I5,6)=LEFT(I6,6),"",SUM(_xlfn._xlws.FILTER($M$3:$M$976,LEFT($I$3:$I$976,6)=LEFT(I5,6))))</f>
        <v>44</v>
      </c>
      <c r="K5" s="135" t="s">
        <v>302</v>
      </c>
      <c r="L5" s="135" cm="1">
        <f t="array" ref="L5">IF(LEFT(K5,6)=LEFT(K6,6),"",SUM(_xlfn._xlws.FILTER($M$3:$M$976,LEFT($K$3:$K$976,6)=LEFT(K5,6))))</f>
        <v>44</v>
      </c>
      <c r="M5" s="126">
        <v>44</v>
      </c>
      <c r="N5" s="126" t="s">
        <v>292</v>
      </c>
      <c r="O5" s="155" t="s">
        <v>160</v>
      </c>
      <c r="P5" s="126" t="s">
        <v>303</v>
      </c>
      <c r="Q5" s="156" t="s">
        <v>304</v>
      </c>
      <c r="R5" s="157">
        <v>0.2021</v>
      </c>
      <c r="S5" s="157">
        <v>0.26900000000000002</v>
      </c>
      <c r="T5" s="157">
        <v>1.407</v>
      </c>
      <c r="U5" s="157">
        <v>4.2000000000000003E-2</v>
      </c>
      <c r="V5" s="157">
        <v>2.1999999999999999E-2</v>
      </c>
      <c r="W5" s="126">
        <v>2.5000000000000001E-3</v>
      </c>
    </row>
    <row r="6" spans="2:23">
      <c r="B6" t="s">
        <v>305</v>
      </c>
      <c r="F6" s="153" t="s">
        <v>306</v>
      </c>
      <c r="G6" s="154" t="s">
        <v>307</v>
      </c>
      <c r="H6" s="135" t="str" cm="1">
        <f t="array" ref="H6">IF(LEFT(G6,6)=LEFT(G7,6),"",SUM(_xlfn._xlws.FILTER($M$3:$M$976,LEFT($G$3:$G$976,6)=LEFT(G6,6))))</f>
        <v/>
      </c>
      <c r="I6" s="158" t="s">
        <v>308</v>
      </c>
      <c r="J6" s="135" t="str" cm="1">
        <f t="array" ref="J6">IF(LEFT(I6,6)=LEFT(I7,6),"",SUM(_xlfn._xlws.FILTER($M$3:$M$976,LEFT($I$3:$I$976,6)=LEFT(I6,6))))</f>
        <v/>
      </c>
      <c r="K6" s="135" t="s">
        <v>309</v>
      </c>
      <c r="L6" s="135" t="str" cm="1">
        <f t="array" ref="L6">IF(LEFT(K6,6)=LEFT(K7,6),"",SUM(_xlfn._xlws.FILTER($M$3:$M$976,LEFT($K$3:$K$976,6)=LEFT(K6,6))))</f>
        <v/>
      </c>
      <c r="M6" s="126">
        <v>56</v>
      </c>
      <c r="N6" s="135" t="s">
        <v>310</v>
      </c>
      <c r="O6" s="155" t="s">
        <v>171</v>
      </c>
      <c r="P6" s="126"/>
      <c r="Q6" s="156"/>
      <c r="R6" s="157">
        <v>4.2000000000000003E-2</v>
      </c>
      <c r="S6" s="157">
        <v>5.0000000000000001E-3</v>
      </c>
      <c r="T6" s="157">
        <v>0.28799999999999998</v>
      </c>
      <c r="U6" s="157">
        <v>3.7999999999999999E-2</v>
      </c>
      <c r="V6" s="157">
        <v>1.4E-2</v>
      </c>
      <c r="W6" s="126" t="s">
        <v>298</v>
      </c>
    </row>
    <row r="7" spans="2:23">
      <c r="B7" t="s">
        <v>311</v>
      </c>
      <c r="F7" s="153" t="s">
        <v>312</v>
      </c>
      <c r="G7" s="154" t="s">
        <v>313</v>
      </c>
      <c r="H7" s="135" t="str" cm="1">
        <f t="array" ref="H7">IF(LEFT(G7,6)=LEFT(G8,6),"",SUM(_xlfn._xlws.FILTER($M$3:$M$976,LEFT($G$3:$G$976,6)=LEFT(G7,6))))</f>
        <v/>
      </c>
      <c r="I7" s="158" t="s">
        <v>314</v>
      </c>
      <c r="J7" s="135" cm="1">
        <f t="array" ref="J7">IF(LEFT(I7,6)=LEFT(I8,6),"",SUM(_xlfn._xlws.FILTER($M$3:$M$976,LEFT($I$3:$I$976,6)=LEFT(I7,6))))</f>
        <v>107</v>
      </c>
      <c r="K7" s="135" t="s">
        <v>315</v>
      </c>
      <c r="L7" s="135" cm="1">
        <f t="array" ref="L7">IF(LEFT(K7,6)=LEFT(K8,6),"",SUM(_xlfn._xlws.FILTER($M$3:$M$976,LEFT($K$3:$K$976,6)=LEFT(K7,6))))</f>
        <v>107</v>
      </c>
      <c r="M7" s="126">
        <v>51</v>
      </c>
      <c r="N7" s="135" t="s">
        <v>310</v>
      </c>
      <c r="O7" s="155" t="s">
        <v>171</v>
      </c>
      <c r="P7" s="126"/>
      <c r="Q7" s="156"/>
      <c r="R7" s="157">
        <v>7.6999999999999999E-2</v>
      </c>
      <c r="S7" s="157">
        <v>1.0999999999999999E-2</v>
      </c>
      <c r="T7" s="157">
        <v>0.69199999999999995</v>
      </c>
      <c r="U7" s="157">
        <v>0.05</v>
      </c>
      <c r="V7" s="157">
        <v>1.6E-2</v>
      </c>
      <c r="W7" s="126" t="s">
        <v>298</v>
      </c>
    </row>
    <row r="8" spans="2:23">
      <c r="C8" t="s">
        <v>316</v>
      </c>
      <c r="F8" s="153" t="s">
        <v>317</v>
      </c>
      <c r="G8" s="154" t="s">
        <v>318</v>
      </c>
      <c r="H8" s="135" t="str" cm="1">
        <f t="array" ref="H8">IF(LEFT(G8,6)=LEFT(G9,6),"",SUM(_xlfn._xlws.FILTER($M$3:$M$976,LEFT($G$3:$G$976,6)=LEFT(G8,6))))</f>
        <v/>
      </c>
      <c r="I8" s="159" t="s">
        <v>319</v>
      </c>
      <c r="J8" s="135" t="str" cm="1">
        <f t="array" ref="J8">IF(LEFT(I8,6)=LEFT(I9,6),"",SUM(_xlfn._xlws.FILTER($M$3:$M$976,LEFT($I$3:$I$976,6)=LEFT(I8,6))))</f>
        <v/>
      </c>
      <c r="K8" s="135" t="s">
        <v>320</v>
      </c>
      <c r="L8" s="135" t="str" cm="1">
        <f t="array" ref="L8">IF(LEFT(K8,6)=LEFT(K9,6),"",SUM(_xlfn._xlws.FILTER($M$3:$M$976,LEFT($K$3:$K$976,6)=LEFT(K8,6))))</f>
        <v/>
      </c>
      <c r="M8" s="126">
        <v>54</v>
      </c>
      <c r="N8" s="126" t="s">
        <v>292</v>
      </c>
      <c r="O8" s="155" t="s">
        <v>163</v>
      </c>
      <c r="P8" s="126"/>
      <c r="Q8" s="156"/>
      <c r="R8" s="157">
        <v>3.6999999999999998E-2</v>
      </c>
      <c r="S8" s="157">
        <v>8.9999999999999993E-3</v>
      </c>
      <c r="T8" s="157">
        <v>0.29699999999999999</v>
      </c>
      <c r="U8" s="157">
        <v>7.9000000000000001E-2</v>
      </c>
      <c r="V8" s="157">
        <v>1.6E-2</v>
      </c>
      <c r="W8" s="126" t="s">
        <v>298</v>
      </c>
    </row>
    <row r="9" spans="2:23">
      <c r="C9" t="s">
        <v>321</v>
      </c>
      <c r="F9" s="153" t="s">
        <v>322</v>
      </c>
      <c r="G9" s="154" t="s">
        <v>323</v>
      </c>
      <c r="H9" s="135" t="str" cm="1">
        <f t="array" ref="H9">IF(LEFT(G9,6)=LEFT(G10,6),"",SUM(_xlfn._xlws.FILTER($M$3:$M$976,LEFT($G$3:$G$976,6)=LEFT(G9,6))))</f>
        <v/>
      </c>
      <c r="I9" s="159" t="s">
        <v>324</v>
      </c>
      <c r="J9" s="135" t="str" cm="1">
        <f t="array" ref="J9">IF(LEFT(I9,6)=LEFT(I10,6),"",SUM(_xlfn._xlws.FILTER($M$3:$M$976,LEFT($I$3:$I$976,6)=LEFT(I9,6))))</f>
        <v/>
      </c>
      <c r="K9" s="135" t="s">
        <v>325</v>
      </c>
      <c r="L9" s="135" t="str" cm="1">
        <f t="array" ref="L9">IF(LEFT(K9,6)=LEFT(K10,6),"",SUM(_xlfn._xlws.FILTER($M$3:$M$976,LEFT($K$3:$K$976,6)=LEFT(K9,6))))</f>
        <v/>
      </c>
      <c r="M9" s="126">
        <v>85</v>
      </c>
      <c r="N9" s="126" t="s">
        <v>292</v>
      </c>
      <c r="O9" s="155" t="s">
        <v>163</v>
      </c>
      <c r="P9" s="126"/>
      <c r="Q9" s="156"/>
      <c r="R9" s="157">
        <v>4.4999999999999998E-2</v>
      </c>
      <c r="S9" s="157">
        <v>1.0999999999999999E-2</v>
      </c>
      <c r="T9" s="157">
        <v>0.29699999999999999</v>
      </c>
      <c r="U9" s="157">
        <v>4.1000000000000002E-2</v>
      </c>
      <c r="V9" s="157">
        <v>1.4999999999999999E-2</v>
      </c>
      <c r="W9" s="126">
        <v>2.0000000000000001E-4</v>
      </c>
    </row>
    <row r="10" spans="2:23">
      <c r="C10" t="s">
        <v>326</v>
      </c>
      <c r="F10" s="153" t="s">
        <v>327</v>
      </c>
      <c r="G10" s="154" t="s">
        <v>328</v>
      </c>
      <c r="H10" s="135" cm="1">
        <f t="array" ref="H10">IF(LEFT(G10,6)=LEFT(G11,6),"",SUM(_xlfn._xlws.FILTER($M$3:$M$976,LEFT($G$3:$G$976,6)=LEFT(G10,6))))</f>
        <v>427</v>
      </c>
      <c r="I10" s="159" t="s">
        <v>329</v>
      </c>
      <c r="J10" s="135" cm="1">
        <f t="array" ref="J10">IF(LEFT(I10,6)=LEFT(I11,6),"",SUM(_xlfn._xlws.FILTER($M$3:$M$976,LEFT($I$3:$I$976,6)=LEFT(I10,6))))</f>
        <v>185</v>
      </c>
      <c r="K10" s="135" t="s">
        <v>330</v>
      </c>
      <c r="L10" s="135" cm="1">
        <f t="array" ref="L10">IF(LEFT(K10,6)=LEFT(K11,6),"",SUM(_xlfn._xlws.FILTER($M$3:$M$976,LEFT($K$3:$K$976,6)=LEFT(K10,6))))</f>
        <v>185</v>
      </c>
      <c r="M10" s="126">
        <v>46</v>
      </c>
      <c r="N10" s="126" t="s">
        <v>331</v>
      </c>
      <c r="O10" s="155" t="s">
        <v>171</v>
      </c>
      <c r="P10" s="126"/>
      <c r="Q10" s="156" t="s">
        <v>332</v>
      </c>
      <c r="R10" s="157">
        <v>3.6999999999999998E-2</v>
      </c>
      <c r="S10" s="157">
        <v>7.0000000000000001E-3</v>
      </c>
      <c r="T10" s="157">
        <v>0.33700000000000002</v>
      </c>
      <c r="U10" s="157">
        <v>4.3999999999999997E-2</v>
      </c>
      <c r="V10" s="157">
        <v>1.7000000000000001E-2</v>
      </c>
      <c r="W10" s="126" t="s">
        <v>298</v>
      </c>
    </row>
    <row r="11" spans="2:23">
      <c r="B11" t="s">
        <v>333</v>
      </c>
      <c r="F11" s="153" t="s">
        <v>334</v>
      </c>
      <c r="G11" s="160" t="s">
        <v>335</v>
      </c>
      <c r="H11" s="135" t="str" cm="1">
        <f t="array" ref="H11">IF(LEFT(G11,6)=LEFT(G12,6),"",SUM(_xlfn._xlws.FILTER($M$3:$M$976,LEFT($G$3:$G$976,6)=LEFT(G11,6))))</f>
        <v/>
      </c>
      <c r="I11" s="161" t="s">
        <v>336</v>
      </c>
      <c r="J11" s="135" t="str" cm="1">
        <f t="array" ref="J11">IF(LEFT(I11,6)=LEFT(I12,6),"",SUM(_xlfn._xlws.FILTER($M$3:$M$976,LEFT($I$3:$I$976,6)=LEFT(I11,6))))</f>
        <v/>
      </c>
      <c r="K11" s="135" t="s">
        <v>337</v>
      </c>
      <c r="L11" s="135" t="str" cm="1">
        <f t="array" ref="L11">IF(LEFT(K11,6)=LEFT(K12,6),"",SUM(_xlfn._xlws.FILTER($M$3:$M$976,LEFT($K$3:$K$976,6)=LEFT(K11,6))))</f>
        <v/>
      </c>
      <c r="M11" s="126">
        <v>40</v>
      </c>
      <c r="N11" s="126" t="s">
        <v>331</v>
      </c>
      <c r="O11" s="155" t="s">
        <v>163</v>
      </c>
      <c r="P11" s="126"/>
      <c r="Q11" s="156"/>
      <c r="R11" s="157">
        <v>6.5000000000000002E-2</v>
      </c>
      <c r="S11" s="157">
        <v>6.0000000000000001E-3</v>
      </c>
      <c r="T11" s="157">
        <v>0.28699999999999998</v>
      </c>
      <c r="U11" s="157">
        <v>4.7E-2</v>
      </c>
      <c r="V11" s="157">
        <v>1.4999999999999999E-2</v>
      </c>
      <c r="W11" s="126">
        <v>1E-4</v>
      </c>
    </row>
    <row r="12" spans="2:23">
      <c r="B12" t="s">
        <v>338</v>
      </c>
      <c r="F12" s="153" t="s">
        <v>339</v>
      </c>
      <c r="G12" s="160" t="s">
        <v>340</v>
      </c>
      <c r="H12" s="135" t="str" cm="1">
        <f t="array" ref="H12">IF(LEFT(G12,6)=LEFT(G13,6),"",SUM(_xlfn._xlws.FILTER($M$3:$M$976,LEFT($G$3:$G$976,6)=LEFT(G12,6))))</f>
        <v/>
      </c>
      <c r="I12" s="161" t="s">
        <v>341</v>
      </c>
      <c r="J12" s="135" t="str" cm="1">
        <f t="array" ref="J12">IF(LEFT(I12,6)=LEFT(I13,6),"",SUM(_xlfn._xlws.FILTER($M$3:$M$976,LEFT($I$3:$I$976,6)=LEFT(I12,6))))</f>
        <v/>
      </c>
      <c r="K12" s="135" t="s">
        <v>342</v>
      </c>
      <c r="L12" s="135" t="str" cm="1">
        <f t="array" ref="L12">IF(LEFT(K12,6)=LEFT(K13,6),"",SUM(_xlfn._xlws.FILTER($M$3:$M$976,LEFT($K$3:$K$976,6)=LEFT(K12,6))))</f>
        <v/>
      </c>
      <c r="M12" s="126">
        <v>44</v>
      </c>
      <c r="N12" s="126" t="s">
        <v>331</v>
      </c>
      <c r="O12" s="155" t="s">
        <v>167</v>
      </c>
      <c r="P12" s="126"/>
      <c r="Q12" s="156"/>
      <c r="R12" s="157">
        <v>5.8000000000000003E-2</v>
      </c>
      <c r="S12" s="157">
        <v>8.0000000000000002E-3</v>
      </c>
      <c r="T12" s="157">
        <v>0.27800000000000002</v>
      </c>
      <c r="U12" s="157">
        <v>0.04</v>
      </c>
      <c r="V12" s="157">
        <v>1.2E-2</v>
      </c>
      <c r="W12" s="126" t="s">
        <v>298</v>
      </c>
    </row>
    <row r="13" spans="2:23">
      <c r="B13" t="s">
        <v>343</v>
      </c>
      <c r="F13" s="153" t="s">
        <v>344</v>
      </c>
      <c r="G13" s="160" t="s">
        <v>345</v>
      </c>
      <c r="H13" s="135" t="str" cm="1">
        <f t="array" ref="H13">IF(LEFT(G13,6)=LEFT(G14,6),"",SUM(_xlfn._xlws.FILTER($M$3:$M$976,LEFT($G$3:$G$976,6)=LEFT(G13,6))))</f>
        <v/>
      </c>
      <c r="I13" s="161" t="s">
        <v>346</v>
      </c>
      <c r="J13" s="135" t="str" cm="1">
        <f t="array" ref="J13">IF(LEFT(I13,6)=LEFT(I14,6),"",SUM(_xlfn._xlws.FILTER($M$3:$M$976,LEFT($I$3:$I$976,6)=LEFT(I13,6))))</f>
        <v/>
      </c>
      <c r="K13" s="135" t="s">
        <v>347</v>
      </c>
      <c r="L13" s="135" t="str" cm="1">
        <f t="array" ref="L13">IF(LEFT(K13,6)=LEFT(K14,6),"",SUM(_xlfn._xlws.FILTER($M$3:$M$976,LEFT($K$3:$K$976,6)=LEFT(K13,6))))</f>
        <v/>
      </c>
      <c r="M13" s="126">
        <v>50</v>
      </c>
      <c r="N13" s="126" t="s">
        <v>331</v>
      </c>
      <c r="O13" s="155" t="s">
        <v>167</v>
      </c>
      <c r="P13" s="126"/>
      <c r="Q13" s="156"/>
      <c r="R13" s="157">
        <v>3.6999999999999998E-2</v>
      </c>
      <c r="S13" s="157">
        <v>1.2E-2</v>
      </c>
      <c r="T13" s="157">
        <v>0.27900000000000003</v>
      </c>
      <c r="U13" s="157">
        <v>3.6999999999999998E-2</v>
      </c>
      <c r="V13" s="157">
        <v>1.0999999999999999E-2</v>
      </c>
      <c r="W13" s="126" t="s">
        <v>298</v>
      </c>
    </row>
    <row r="14" spans="2:23">
      <c r="F14" s="153" t="s">
        <v>348</v>
      </c>
      <c r="G14" s="160" t="s">
        <v>349</v>
      </c>
      <c r="H14" s="135" t="str" cm="1">
        <f t="array" ref="H14">IF(LEFT(G14,6)=LEFT(G15,6),"",SUM(_xlfn._xlws.FILTER($M$3:$M$976,LEFT($G$3:$G$976,6)=LEFT(G14,6))))</f>
        <v/>
      </c>
      <c r="I14" s="161" t="s">
        <v>350</v>
      </c>
      <c r="J14" s="135" cm="1">
        <f t="array" ref="J14">IF(LEFT(I14,6)=LEFT(I15,6),"",SUM(_xlfn._xlws.FILTER($M$3:$M$976,LEFT($I$3:$I$976,6)=LEFT(I14,6))))</f>
        <v>184</v>
      </c>
      <c r="K14" s="135" t="s">
        <v>351</v>
      </c>
      <c r="L14" s="135" cm="1">
        <f t="array" ref="L14">IF(LEFT(K14,6)=LEFT(K15,6),"",SUM(_xlfn._xlws.FILTER($M$3:$M$976,LEFT($K$3:$K$976,6)=LEFT(K14,6))))</f>
        <v>184</v>
      </c>
      <c r="M14" s="126">
        <v>50</v>
      </c>
      <c r="N14" s="126" t="s">
        <v>331</v>
      </c>
      <c r="O14" s="155" t="s">
        <v>171</v>
      </c>
      <c r="P14" s="126"/>
      <c r="Q14" s="156"/>
      <c r="R14" s="157">
        <v>0.154</v>
      </c>
      <c r="S14" s="157">
        <v>0.01</v>
      </c>
      <c r="T14" s="157">
        <v>0.53</v>
      </c>
      <c r="U14" s="157">
        <v>3.1E-2</v>
      </c>
      <c r="V14" s="157">
        <v>1.2E-2</v>
      </c>
      <c r="W14" s="126" t="s">
        <v>298</v>
      </c>
    </row>
    <row r="15" spans="2:23">
      <c r="F15" s="153" t="s">
        <v>352</v>
      </c>
      <c r="G15" s="160" t="s">
        <v>353</v>
      </c>
      <c r="H15" s="135" t="str" cm="1">
        <f t="array" ref="H15">IF(LEFT(G15,6)=LEFT(G16,6),"",SUM(_xlfn._xlws.FILTER($M$3:$M$976,LEFT($G$3:$G$976,6)=LEFT(G15,6))))</f>
        <v/>
      </c>
      <c r="I15" s="162" t="s">
        <v>354</v>
      </c>
      <c r="J15" s="135" t="str" cm="1">
        <f t="array" ref="J15">IF(LEFT(I15,6)=LEFT(I16,6),"",SUM(_xlfn._xlws.FILTER($M$3:$M$976,LEFT($I$3:$I$976,6)=LEFT(I15,6))))</f>
        <v/>
      </c>
      <c r="K15" s="135" t="s">
        <v>355</v>
      </c>
      <c r="L15" s="135" cm="1">
        <f t="array" ref="L15">IF(LEFT(K15,6)=LEFT(K16,6),"",SUM(_xlfn._xlws.FILTER($M$3:$M$976,LEFT($K$3:$K$976,6)=LEFT(K15,6))))</f>
        <v>46</v>
      </c>
      <c r="M15" s="126">
        <v>46</v>
      </c>
      <c r="N15" s="126" t="s">
        <v>331</v>
      </c>
      <c r="O15" s="155" t="s">
        <v>163</v>
      </c>
      <c r="P15" s="126"/>
      <c r="Q15" s="156"/>
      <c r="R15" s="157">
        <v>8.4000000000000005E-2</v>
      </c>
      <c r="S15" s="157">
        <v>2.1999999999999999E-2</v>
      </c>
      <c r="T15" s="157">
        <v>0.95099999999999996</v>
      </c>
      <c r="U15" s="157">
        <v>0.04</v>
      </c>
      <c r="V15" s="157">
        <v>1.7000000000000001E-2</v>
      </c>
      <c r="W15" s="126" t="s">
        <v>298</v>
      </c>
    </row>
    <row r="16" spans="2:23">
      <c r="F16" s="153" t="s">
        <v>356</v>
      </c>
      <c r="G16" s="160" t="s">
        <v>357</v>
      </c>
      <c r="H16" s="135" t="str" cm="1">
        <f t="array" ref="H16">IF(LEFT(G16,6)=LEFT(G17,6),"",SUM(_xlfn._xlws.FILTER($M$3:$M$976,LEFT($G$3:$G$976,6)=LEFT(G16,6))))</f>
        <v/>
      </c>
      <c r="I16" s="162" t="s">
        <v>358</v>
      </c>
      <c r="J16" s="135" t="str" cm="1">
        <f t="array" ref="J16">IF(LEFT(I16,6)=LEFT(I17,6),"",SUM(_xlfn._xlws.FILTER($M$3:$M$976,LEFT($I$3:$I$976,6)=LEFT(I16,6))))</f>
        <v/>
      </c>
      <c r="K16" s="135" t="s">
        <v>359</v>
      </c>
      <c r="L16" s="135" t="str" cm="1">
        <f t="array" ref="L16">IF(LEFT(K16,6)=LEFT(K17,6),"",SUM(_xlfn._xlws.FILTER($M$3:$M$976,LEFT($K$3:$K$976,6)=LEFT(K16,6))))</f>
        <v/>
      </c>
      <c r="M16" s="126">
        <v>69</v>
      </c>
      <c r="N16" s="126" t="s">
        <v>331</v>
      </c>
      <c r="O16" s="155" t="s">
        <v>167</v>
      </c>
      <c r="P16" s="126" t="s">
        <v>360</v>
      </c>
      <c r="Q16" s="156"/>
      <c r="R16" s="157">
        <v>8.2000000000000003E-2</v>
      </c>
      <c r="S16" s="157">
        <v>2.3E-2</v>
      </c>
      <c r="T16" s="157">
        <v>1.0289999999999999</v>
      </c>
      <c r="U16" s="157">
        <v>3.2000000000000001E-2</v>
      </c>
      <c r="V16" s="157">
        <v>1.9E-2</v>
      </c>
      <c r="W16" s="126" t="s">
        <v>298</v>
      </c>
    </row>
    <row r="17" spans="6:23">
      <c r="F17" s="153" t="s">
        <v>361</v>
      </c>
      <c r="G17" s="160" t="s">
        <v>362</v>
      </c>
      <c r="H17" s="135" t="str" cm="1">
        <f t="array" ref="H17">IF(LEFT(G17,6)=LEFT(G18,6),"",SUM(_xlfn._xlws.FILTER($M$3:$M$976,LEFT($G$3:$G$976,6)=LEFT(G17,6))))</f>
        <v/>
      </c>
      <c r="I17" s="162" t="s">
        <v>363</v>
      </c>
      <c r="J17" s="135" t="str" cm="1">
        <f t="array" ref="J17">IF(LEFT(I17,6)=LEFT(I18,6),"",SUM(_xlfn._xlws.FILTER($M$3:$M$976,LEFT($I$3:$I$976,6)=LEFT(I17,6))))</f>
        <v/>
      </c>
      <c r="K17" s="135" t="s">
        <v>364</v>
      </c>
      <c r="L17" s="135" t="str" cm="1">
        <f t="array" ref="L17">IF(LEFT(K17,6)=LEFT(K18,6),"",SUM(_xlfn._xlws.FILTER($M$3:$M$976,LEFT($K$3:$K$976,6)=LEFT(K17,6))))</f>
        <v/>
      </c>
      <c r="M17" s="126">
        <v>56</v>
      </c>
      <c r="N17" s="126" t="s">
        <v>292</v>
      </c>
      <c r="O17" s="155" t="s">
        <v>167</v>
      </c>
      <c r="P17" s="126"/>
      <c r="Q17" s="156"/>
      <c r="R17" s="157">
        <v>5.1999999999999998E-2</v>
      </c>
      <c r="S17" s="157">
        <v>8.0000000000000002E-3</v>
      </c>
      <c r="T17" s="157">
        <v>0.28799999999999998</v>
      </c>
      <c r="U17" s="157">
        <v>3.4000000000000002E-2</v>
      </c>
      <c r="V17" s="157">
        <v>1.7000000000000001E-2</v>
      </c>
      <c r="W17" s="126" t="s">
        <v>298</v>
      </c>
    </row>
    <row r="18" spans="6:23">
      <c r="F18" s="153" t="s">
        <v>365</v>
      </c>
      <c r="G18" s="160" t="s">
        <v>366</v>
      </c>
      <c r="H18" s="135" t="str" cm="1">
        <f t="array" ref="H18">IF(LEFT(G18,6)=LEFT(G19,6),"",SUM(_xlfn._xlws.FILTER($M$3:$M$976,LEFT($G$3:$G$976,6)=LEFT(G18,6))))</f>
        <v/>
      </c>
      <c r="I18" s="162" t="s">
        <v>367</v>
      </c>
      <c r="J18" s="135" cm="1">
        <f t="array" ref="J18">IF(LEFT(I18,6)=LEFT(I19,6),"",SUM(_xlfn._xlws.FILTER($M$3:$M$976,LEFT($I$3:$I$976,6)=LEFT(I18,6))))</f>
        <v>229</v>
      </c>
      <c r="K18" s="135" t="s">
        <v>368</v>
      </c>
      <c r="L18" s="135" cm="1">
        <f t="array" ref="L18">IF(LEFT(K18,6)=LEFT(K19,6),"",SUM(_xlfn._xlws.FILTER($M$3:$M$976,LEFT($K$3:$K$976,6)=LEFT(K18,6))))</f>
        <v>183</v>
      </c>
      <c r="M18" s="126">
        <v>58</v>
      </c>
      <c r="N18" s="126" t="s">
        <v>292</v>
      </c>
      <c r="O18" s="155" t="s">
        <v>160</v>
      </c>
      <c r="P18" s="126"/>
      <c r="Q18" s="156"/>
      <c r="R18" s="157">
        <v>9.7000000000000003E-2</v>
      </c>
      <c r="S18" s="157">
        <v>8.9999999999999993E-3</v>
      </c>
      <c r="T18" s="157">
        <v>0.36299999999999999</v>
      </c>
      <c r="U18" s="157">
        <v>5.1999999999999998E-2</v>
      </c>
      <c r="V18" s="157">
        <v>1.2999999999999999E-2</v>
      </c>
      <c r="W18" s="126" t="s">
        <v>298</v>
      </c>
    </row>
    <row r="19" spans="6:23">
      <c r="F19" s="153" t="s">
        <v>369</v>
      </c>
      <c r="G19" s="160" t="s">
        <v>370</v>
      </c>
      <c r="H19" s="135" t="str" cm="1">
        <f t="array" ref="H19">IF(LEFT(G19,6)=LEFT(G20,6),"",SUM(_xlfn._xlws.FILTER($M$3:$M$976,LEFT($G$3:$G$976,6)=LEFT(G19,6))))</f>
        <v/>
      </c>
      <c r="I19" s="163" t="s">
        <v>371</v>
      </c>
      <c r="J19" s="135" t="str" cm="1">
        <f t="array" ref="J19">IF(LEFT(I19,6)=LEFT(I20,6),"",SUM(_xlfn._xlws.FILTER($M$3:$M$976,LEFT($I$3:$I$976,6)=LEFT(I19,6))))</f>
        <v/>
      </c>
      <c r="K19" s="135" t="s">
        <v>372</v>
      </c>
      <c r="L19" s="135" t="str" cm="1">
        <f t="array" ref="L19">IF(LEFT(K19,6)=LEFT(K20,6),"",SUM(_xlfn._xlws.FILTER($M$3:$M$976,LEFT($K$3:$K$976,6)=LEFT(K19,6))))</f>
        <v/>
      </c>
      <c r="M19" s="126">
        <v>55</v>
      </c>
      <c r="N19" s="126" t="s">
        <v>292</v>
      </c>
      <c r="O19" s="155" t="s">
        <v>160</v>
      </c>
      <c r="P19" s="126"/>
      <c r="Q19" s="156"/>
      <c r="R19" s="157">
        <v>9.0999999999999998E-2</v>
      </c>
      <c r="S19" s="157">
        <v>7.0000000000000001E-3</v>
      </c>
      <c r="T19" s="157">
        <v>0.36199999999999999</v>
      </c>
      <c r="U19" s="157">
        <v>3.5999999999999997E-2</v>
      </c>
      <c r="V19" s="157">
        <v>1.9E-2</v>
      </c>
      <c r="W19" s="126" t="s">
        <v>298</v>
      </c>
    </row>
    <row r="20" spans="6:23">
      <c r="F20" s="153" t="s">
        <v>373</v>
      </c>
      <c r="G20" s="160" t="s">
        <v>374</v>
      </c>
      <c r="H20" s="135" t="str" cm="1">
        <f t="array" ref="H20">IF(LEFT(G20,6)=LEFT(G21,6),"",SUM(_xlfn._xlws.FILTER($M$3:$M$976,LEFT($G$3:$G$976,6)=LEFT(G20,6))))</f>
        <v/>
      </c>
      <c r="I20" s="163" t="s">
        <v>375</v>
      </c>
      <c r="J20" s="135" t="str" cm="1">
        <f t="array" ref="J20">IF(LEFT(I20,6)=LEFT(I21,6),"",SUM(_xlfn._xlws.FILTER($M$3:$M$976,LEFT($I$3:$I$976,6)=LEFT(I20,6))))</f>
        <v/>
      </c>
      <c r="K20" s="135" t="s">
        <v>376</v>
      </c>
      <c r="L20" s="135" t="str" cm="1">
        <f t="array" ref="L20">IF(LEFT(K20,6)=LEFT(K21,6),"",SUM(_xlfn._xlws.FILTER($M$3:$M$976,LEFT($K$3:$K$976,6)=LEFT(K20,6))))</f>
        <v/>
      </c>
      <c r="M20" s="126">
        <v>57</v>
      </c>
      <c r="N20" s="126" t="s">
        <v>331</v>
      </c>
      <c r="O20" s="155" t="s">
        <v>163</v>
      </c>
      <c r="P20" s="126"/>
      <c r="Q20" s="156"/>
      <c r="R20" s="157">
        <v>0.1021</v>
      </c>
      <c r="S20" s="157">
        <v>0.01</v>
      </c>
      <c r="T20" s="157">
        <v>0.40100000000000002</v>
      </c>
      <c r="U20" s="157">
        <v>3.5999999999999997E-2</v>
      </c>
      <c r="V20" s="157">
        <v>1.7999999999999999E-2</v>
      </c>
      <c r="W20" s="126">
        <v>1E-4</v>
      </c>
    </row>
    <row r="21" spans="6:23">
      <c r="F21" s="153" t="s">
        <v>377</v>
      </c>
      <c r="G21" s="160" t="s">
        <v>378</v>
      </c>
      <c r="H21" s="135" t="str" cm="1">
        <f t="array" ref="H21">IF(LEFT(G21,6)=LEFT(G22,6),"",SUM(_xlfn._xlws.FILTER($M$3:$M$976,LEFT($G$3:$G$976,6)=LEFT(G21,6))))</f>
        <v/>
      </c>
      <c r="I21" s="163" t="s">
        <v>379</v>
      </c>
      <c r="J21" s="135" t="str" cm="1">
        <f t="array" ref="J21">IF(LEFT(I21,6)=LEFT(I22,6),"",SUM(_xlfn._xlws.FILTER($M$3:$M$976,LEFT($I$3:$I$976,6)=LEFT(I21,6))))</f>
        <v/>
      </c>
      <c r="K21" s="135" t="s">
        <v>380</v>
      </c>
      <c r="L21" s="135" t="str" cm="1">
        <f t="array" ref="L21">IF(LEFT(K21,6)=LEFT(K22,6),"",SUM(_xlfn._xlws.FILTER($M$3:$M$976,LEFT($K$3:$K$976,6)=LEFT(K21,6))))</f>
        <v/>
      </c>
      <c r="M21" s="126">
        <v>53</v>
      </c>
      <c r="N21" s="126" t="s">
        <v>292</v>
      </c>
      <c r="O21" s="155" t="s">
        <v>163</v>
      </c>
      <c r="P21" s="126" t="s">
        <v>360</v>
      </c>
      <c r="Q21" s="156"/>
      <c r="R21" s="157">
        <v>3.2000000000000001E-2</v>
      </c>
      <c r="S21" s="157">
        <v>0.01</v>
      </c>
      <c r="T21" s="157">
        <v>0.29799999999999999</v>
      </c>
      <c r="U21" s="157">
        <v>5.2999999999999999E-2</v>
      </c>
      <c r="V21" s="157">
        <v>1.2999999999999999E-2</v>
      </c>
      <c r="W21" s="126">
        <v>1E-4</v>
      </c>
    </row>
    <row r="22" spans="6:23">
      <c r="F22" s="153" t="s">
        <v>381</v>
      </c>
      <c r="G22" s="160" t="s">
        <v>382</v>
      </c>
      <c r="H22" s="135" t="str" cm="1">
        <f t="array" ref="H22">IF(LEFT(G22,6)=LEFT(G23,6),"",SUM(_xlfn._xlws.FILTER($M$3:$M$976,LEFT($G$3:$G$976,6)=LEFT(G22,6))))</f>
        <v/>
      </c>
      <c r="I22" s="163" t="s">
        <v>383</v>
      </c>
      <c r="J22" s="135" t="str" cm="1">
        <f t="array" ref="J22">IF(LEFT(I22,6)=LEFT(I23,6),"",SUM(_xlfn._xlws.FILTER($M$3:$M$976,LEFT($I$3:$I$976,6)=LEFT(I22,6))))</f>
        <v/>
      </c>
      <c r="K22" s="135" t="s">
        <v>384</v>
      </c>
      <c r="L22" s="135" cm="1">
        <f t="array" ref="L22">IF(LEFT(K22,6)=LEFT(K23,6),"",SUM(_xlfn._xlws.FILTER($M$3:$M$976,LEFT($K$3:$K$976,6)=LEFT(K22,6))))</f>
        <v>219</v>
      </c>
      <c r="M22" s="126">
        <v>54</v>
      </c>
      <c r="N22" s="126" t="s">
        <v>292</v>
      </c>
      <c r="O22" s="155" t="s">
        <v>171</v>
      </c>
      <c r="P22" s="126"/>
      <c r="Q22" s="156"/>
      <c r="R22" s="157">
        <v>3.5999999999999997E-2</v>
      </c>
      <c r="S22" s="157">
        <v>1.4999999999999999E-2</v>
      </c>
      <c r="T22" s="157">
        <v>0.247</v>
      </c>
      <c r="U22" s="157">
        <v>3.5000000000000003E-2</v>
      </c>
      <c r="V22" s="157">
        <v>1.0999999999999999E-2</v>
      </c>
      <c r="W22" s="126">
        <v>2.0000000000000001E-4</v>
      </c>
    </row>
    <row r="23" spans="6:23">
      <c r="F23" s="153" t="s">
        <v>385</v>
      </c>
      <c r="G23" s="160" t="s">
        <v>386</v>
      </c>
      <c r="H23" s="135" t="str" cm="1">
        <f t="array" ref="H23">IF(LEFT(G23,6)=LEFT(G24,6),"",SUM(_xlfn._xlws.FILTER($M$3:$M$976,LEFT($G$3:$G$976,6)=LEFT(G23,6))))</f>
        <v/>
      </c>
      <c r="I23" s="163" t="s">
        <v>387</v>
      </c>
      <c r="J23" s="135" cm="1">
        <f t="array" ref="J23">IF(LEFT(I23,6)=LEFT(I24,6),"",SUM(_xlfn._xlws.FILTER($M$3:$M$976,LEFT($I$3:$I$976,6)=LEFT(I23,6))))</f>
        <v>264</v>
      </c>
      <c r="K23" s="135" t="s">
        <v>388</v>
      </c>
      <c r="L23" s="135" cm="1">
        <f t="array" ref="L23">IF(LEFT(K23,6)=LEFT(K24,6),"",SUM(_xlfn._xlws.FILTER($M$3:$M$976,LEFT($K$3:$K$976,6)=LEFT(K23,6))))</f>
        <v>45</v>
      </c>
      <c r="M23" s="126">
        <v>45</v>
      </c>
      <c r="N23" s="126" t="s">
        <v>292</v>
      </c>
      <c r="O23" s="155" t="s">
        <v>160</v>
      </c>
      <c r="P23" s="126"/>
      <c r="Q23" s="156"/>
      <c r="R23" s="157">
        <v>4.1000000000000002E-2</v>
      </c>
      <c r="S23" s="157">
        <v>1.2999999999999999E-2</v>
      </c>
      <c r="T23" s="157">
        <v>0.29299999999999998</v>
      </c>
      <c r="U23" s="157">
        <v>0.05</v>
      </c>
      <c r="V23" s="157">
        <v>0.02</v>
      </c>
      <c r="W23" s="126" t="s">
        <v>298</v>
      </c>
    </row>
    <row r="24" spans="6:23">
      <c r="F24" s="153" t="s">
        <v>389</v>
      </c>
      <c r="G24" s="160" t="s">
        <v>390</v>
      </c>
      <c r="H24" s="135" t="str" cm="1">
        <f t="array" ref="H24">IF(LEFT(G24,6)=LEFT(G25,6),"",SUM(_xlfn._xlws.FILTER($M$3:$M$976,LEFT($G$3:$G$976,6)=LEFT(G24,6))))</f>
        <v/>
      </c>
      <c r="I24" s="164" t="s">
        <v>391</v>
      </c>
      <c r="J24" s="135" t="str" cm="1">
        <f t="array" ref="J24">IF(LEFT(I24,6)=LEFT(I25,6),"",SUM(_xlfn._xlws.FILTER($M$3:$M$976,LEFT($I$3:$I$976,6)=LEFT(I24,6))))</f>
        <v/>
      </c>
      <c r="K24" s="135" t="s">
        <v>392</v>
      </c>
      <c r="L24" s="135" t="str" cm="1">
        <f t="array" ref="L24">IF(LEFT(K24,6)=LEFT(K25,6),"",SUM(_xlfn._xlws.FILTER($M$3:$M$976,LEFT($K$3:$K$976,6)=LEFT(K24,6))))</f>
        <v/>
      </c>
      <c r="M24" s="126">
        <v>45</v>
      </c>
      <c r="N24" s="126" t="s">
        <v>292</v>
      </c>
      <c r="O24" s="155" t="s">
        <v>171</v>
      </c>
      <c r="P24" s="126"/>
      <c r="Q24" s="156"/>
      <c r="R24" s="157">
        <v>3.9E-2</v>
      </c>
      <c r="S24" s="157">
        <v>8.0000000000000002E-3</v>
      </c>
      <c r="T24" s="157">
        <v>0.28100000000000003</v>
      </c>
      <c r="U24" s="157">
        <v>3.4000000000000002E-2</v>
      </c>
      <c r="V24" s="157">
        <v>0.01</v>
      </c>
      <c r="W24" s="126" t="s">
        <v>298</v>
      </c>
    </row>
    <row r="25" spans="6:23">
      <c r="F25" s="126" t="s">
        <v>393</v>
      </c>
      <c r="G25" s="160" t="s">
        <v>394</v>
      </c>
      <c r="H25" s="135" t="str" cm="1">
        <f t="array" ref="H25">IF(LEFT(G25,6)=LEFT(G26,6),"",SUM(_xlfn._xlws.FILTER($M$3:$M$976,LEFT($G$3:$G$976,6)=LEFT(G25,6))))</f>
        <v/>
      </c>
      <c r="I25" s="164" t="s">
        <v>395</v>
      </c>
      <c r="J25" s="135" t="str" cm="1">
        <f t="array" ref="J25">IF(LEFT(I25,6)=LEFT(I26,6),"",SUM(_xlfn._xlws.FILTER($M$3:$M$976,LEFT($I$3:$I$976,6)=LEFT(I25,6))))</f>
        <v/>
      </c>
      <c r="K25" s="135" t="s">
        <v>396</v>
      </c>
      <c r="L25" s="135" cm="1">
        <f t="array" ref="L25">IF(LEFT(K25,6)=LEFT(K26,6),"",SUM(_xlfn._xlws.FILTER($M$3:$M$976,LEFT($K$3:$K$976,6)=LEFT(K25,6))))</f>
        <v>90</v>
      </c>
      <c r="M25" s="126">
        <v>45</v>
      </c>
      <c r="N25" s="126" t="s">
        <v>331</v>
      </c>
      <c r="O25" s="155" t="s">
        <v>171</v>
      </c>
      <c r="P25" s="126"/>
      <c r="Q25" s="156"/>
      <c r="R25" s="157">
        <v>3.6999999999999998E-2</v>
      </c>
      <c r="S25" s="157">
        <v>8.0000000000000002E-3</v>
      </c>
      <c r="T25" s="157">
        <v>0.26700000000000002</v>
      </c>
      <c r="U25" s="157">
        <v>4.1000000000000002E-2</v>
      </c>
      <c r="V25" s="157">
        <v>1.2999999999999999E-2</v>
      </c>
      <c r="W25" s="126" t="s">
        <v>298</v>
      </c>
    </row>
    <row r="26" spans="6:23">
      <c r="F26" s="126" t="s">
        <v>397</v>
      </c>
      <c r="G26" s="160" t="s">
        <v>398</v>
      </c>
      <c r="H26" s="135" t="str" cm="1">
        <f t="array" ref="H26">IF(LEFT(G26,6)=LEFT(G27,6),"",SUM(_xlfn._xlws.FILTER($M$3:$M$976,LEFT($G$3:$G$976,6)=LEFT(G26,6))))</f>
        <v/>
      </c>
      <c r="I26" s="164" t="s">
        <v>399</v>
      </c>
      <c r="J26" s="135" t="str" cm="1">
        <f t="array" ref="J26">IF(LEFT(I26,6)=LEFT(I27,6),"",SUM(_xlfn._xlws.FILTER($M$3:$M$976,LEFT($I$3:$I$976,6)=LEFT(I26,6))))</f>
        <v/>
      </c>
      <c r="K26" s="135" t="s">
        <v>400</v>
      </c>
      <c r="L26" s="135" t="str" cm="1">
        <f t="array" ref="L26">IF(LEFT(K26,6)=LEFT(K27,6),"",SUM(_xlfn._xlws.FILTER($M$3:$M$976,LEFT($K$3:$K$976,6)=LEFT(K26,6))))</f>
        <v/>
      </c>
      <c r="M26" s="126">
        <v>53</v>
      </c>
      <c r="N26" s="126" t="s">
        <v>331</v>
      </c>
      <c r="O26" s="155" t="s">
        <v>167</v>
      </c>
      <c r="P26" s="126" t="s">
        <v>401</v>
      </c>
      <c r="Q26" s="156"/>
      <c r="R26" s="157">
        <v>2E-3</v>
      </c>
      <c r="S26" s="157">
        <v>2E-3</v>
      </c>
      <c r="T26" s="157">
        <v>0.104</v>
      </c>
      <c r="U26" s="157">
        <v>5.6000000000000001E-2</v>
      </c>
      <c r="V26" s="157">
        <v>8.9999999999999993E-3</v>
      </c>
      <c r="W26" s="126" t="s">
        <v>298</v>
      </c>
    </row>
    <row r="27" spans="6:23">
      <c r="F27" s="126" t="s">
        <v>402</v>
      </c>
      <c r="G27" s="160" t="s">
        <v>403</v>
      </c>
      <c r="H27" s="135" t="str" cm="1">
        <f t="array" ref="H27">IF(LEFT(G27,6)=LEFT(G28,6),"",SUM(_xlfn._xlws.FILTER($M$3:$M$976,LEFT($G$3:$G$976,6)=LEFT(G27,6))))</f>
        <v/>
      </c>
      <c r="I27" s="164" t="s">
        <v>404</v>
      </c>
      <c r="J27" s="135" t="str" cm="1">
        <f t="array" ref="J27">IF(LEFT(I27,6)=LEFT(I28,6),"",SUM(_xlfn._xlws.FILTER($M$3:$M$976,LEFT($I$3:$I$976,6)=LEFT(I27,6))))</f>
        <v/>
      </c>
      <c r="K27" s="135" t="s">
        <v>405</v>
      </c>
      <c r="L27" s="135" t="str" cm="1">
        <f t="array" ref="L27">IF(LEFT(K27,6)=LEFT(K28,6),"",SUM(_xlfn._xlws.FILTER($M$3:$M$976,LEFT($K$3:$K$976,6)=LEFT(K27,6))))</f>
        <v/>
      </c>
      <c r="M27" s="126">
        <v>43</v>
      </c>
      <c r="N27" s="126" t="s">
        <v>331</v>
      </c>
      <c r="O27" s="155" t="s">
        <v>167</v>
      </c>
      <c r="P27" s="126"/>
      <c r="Q27" s="156"/>
      <c r="R27" s="157">
        <v>4.1000000000000002E-2</v>
      </c>
      <c r="S27" s="157">
        <v>5.0000000000000001E-3</v>
      </c>
      <c r="T27" s="157">
        <v>0.27900000000000003</v>
      </c>
      <c r="U27" s="157">
        <v>4.1000000000000002E-2</v>
      </c>
      <c r="V27" s="157">
        <v>0.01</v>
      </c>
      <c r="W27" s="126" t="s">
        <v>298</v>
      </c>
    </row>
    <row r="28" spans="6:23">
      <c r="F28" s="126" t="s">
        <v>406</v>
      </c>
      <c r="G28" s="160" t="s">
        <v>407</v>
      </c>
      <c r="H28" s="135" cm="1">
        <f t="array" ref="H28">IF(LEFT(G28,6)=LEFT(G29,6),"",SUM(_xlfn._xlws.FILTER($M$3:$M$976,LEFT($G$3:$G$976,6)=LEFT(G28,6))))</f>
        <v>913</v>
      </c>
      <c r="I28" s="164" t="s">
        <v>408</v>
      </c>
      <c r="J28" s="135" cm="1">
        <f t="array" ref="J28">IF(LEFT(I28,6)=LEFT(I29,6),"",SUM(_xlfn._xlws.FILTER($M$3:$M$976,LEFT($I$3:$I$976,6)=LEFT(I28,6))))</f>
        <v>236</v>
      </c>
      <c r="K28" s="135" t="s">
        <v>409</v>
      </c>
      <c r="L28" s="135" cm="1">
        <f t="array" ref="L28">IF(LEFT(K28,6)=LEFT(K29,6),"",SUM(_xlfn._xlws.FILTER($M$3:$M$976,LEFT($K$3:$K$976,6)=LEFT(K28,6))))</f>
        <v>146</v>
      </c>
      <c r="M28" s="126">
        <v>50</v>
      </c>
      <c r="N28" s="126" t="s">
        <v>331</v>
      </c>
      <c r="O28" s="155" t="s">
        <v>163</v>
      </c>
      <c r="P28" s="126"/>
      <c r="Q28" s="156" t="s">
        <v>410</v>
      </c>
      <c r="R28" s="157">
        <v>4.5999999999999999E-2</v>
      </c>
      <c r="S28" s="157">
        <v>7.0000000000000001E-3</v>
      </c>
      <c r="T28" s="157">
        <v>0.29399999999999998</v>
      </c>
      <c r="U28" s="157">
        <v>4.8000000000000001E-2</v>
      </c>
      <c r="V28" s="157">
        <v>1.4E-2</v>
      </c>
      <c r="W28" s="126" t="s">
        <v>298</v>
      </c>
    </row>
    <row r="29" spans="6:23">
      <c r="F29" s="126" t="s">
        <v>411</v>
      </c>
      <c r="G29" s="165" t="s">
        <v>412</v>
      </c>
      <c r="H29" s="135" t="str" cm="1">
        <f t="array" ref="H29">IF(LEFT(G29,6)=LEFT(G30,6),"",SUM(_xlfn._xlws.FILTER($M$3:$M$976,LEFT($G$3:$G$976,6)=LEFT(G29,6))))</f>
        <v/>
      </c>
      <c r="I29" s="166" t="s">
        <v>413</v>
      </c>
      <c r="J29" s="135" t="str" cm="1">
        <f t="array" ref="J29">IF(LEFT(I29,6)=LEFT(I30,6),"",SUM(_xlfn._xlws.FILTER($M$3:$M$976,LEFT($I$3:$I$976,6)=LEFT(I29,6))))</f>
        <v/>
      </c>
      <c r="K29" s="135" t="s">
        <v>414</v>
      </c>
      <c r="L29" s="135" cm="1">
        <f t="array" ref="L29">IF(LEFT(K29,6)=LEFT(K30,6),"",SUM(_xlfn._xlws.FILTER($M$3:$M$976,LEFT($K$3:$K$976,6)=LEFT(K29,6))))</f>
        <v>67</v>
      </c>
      <c r="M29" s="126">
        <v>67</v>
      </c>
      <c r="N29" s="126" t="s">
        <v>331</v>
      </c>
      <c r="O29" s="155" t="s">
        <v>163</v>
      </c>
      <c r="P29" s="126"/>
      <c r="Q29" s="156"/>
      <c r="R29" s="157">
        <v>4.2999999999999997E-2</v>
      </c>
      <c r="S29" s="157">
        <v>5.0000000000000001E-3</v>
      </c>
      <c r="T29" s="157">
        <v>0.26300000000000001</v>
      </c>
      <c r="U29" s="157">
        <v>4.5999999999999999E-2</v>
      </c>
      <c r="V29" s="157">
        <v>8.9999999999999993E-3</v>
      </c>
      <c r="W29" s="126">
        <v>2.9999999999999997E-4</v>
      </c>
    </row>
    <row r="30" spans="6:23">
      <c r="F30" s="126" t="s">
        <v>415</v>
      </c>
      <c r="G30" s="165" t="s">
        <v>416</v>
      </c>
      <c r="H30" s="135" t="str" cm="1">
        <f t="array" ref="H30">IF(LEFT(G30,6)=LEFT(G31,6),"",SUM(_xlfn._xlws.FILTER($M$3:$M$976,LEFT($G$3:$G$976,6)=LEFT(G30,6))))</f>
        <v/>
      </c>
      <c r="I30" s="166" t="s">
        <v>417</v>
      </c>
      <c r="J30" s="135" t="str" cm="1">
        <f t="array" ref="J30">IF(LEFT(I30,6)=LEFT(I31,6),"",SUM(_xlfn._xlws.FILTER($M$3:$M$976,LEFT($I$3:$I$976,6)=LEFT(I30,6))))</f>
        <v/>
      </c>
      <c r="K30" s="135" t="s">
        <v>418</v>
      </c>
      <c r="L30" s="135" cm="1">
        <f t="array" ref="L30">IF(LEFT(K30,6)=LEFT(K31,6),"",SUM(_xlfn._xlws.FILTER($M$3:$M$976,LEFT($K$3:$K$976,6)=LEFT(K30,6))))</f>
        <v>56</v>
      </c>
      <c r="M30" s="126">
        <v>56</v>
      </c>
      <c r="N30" s="126" t="s">
        <v>331</v>
      </c>
      <c r="O30" s="155" t="s">
        <v>167</v>
      </c>
      <c r="P30" s="126"/>
      <c r="Q30" s="156"/>
      <c r="R30" s="157">
        <v>3.9E-2</v>
      </c>
      <c r="S30" s="157">
        <v>6.0000000000000001E-3</v>
      </c>
      <c r="T30" s="157">
        <v>0.27700000000000002</v>
      </c>
      <c r="U30" s="157">
        <v>3.5000000000000003E-2</v>
      </c>
      <c r="V30" s="157">
        <v>1.2E-2</v>
      </c>
      <c r="W30" s="126">
        <v>2.0000000000000001E-4</v>
      </c>
    </row>
    <row r="31" spans="6:23">
      <c r="F31" s="126" t="s">
        <v>419</v>
      </c>
      <c r="G31" s="165" t="s">
        <v>420</v>
      </c>
      <c r="H31" s="135" t="str" cm="1">
        <f t="array" ref="H31">IF(LEFT(G31,6)=LEFT(G32,6),"",SUM(_xlfn._xlws.FILTER($M$3:$M$976,LEFT($G$3:$G$976,6)=LEFT(G31,6))))</f>
        <v/>
      </c>
      <c r="I31" s="166" t="s">
        <v>421</v>
      </c>
      <c r="J31" s="135" t="str" cm="1">
        <f t="array" ref="J31">IF(LEFT(I31,6)=LEFT(I32,6),"",SUM(_xlfn._xlws.FILTER($M$3:$M$976,LEFT($I$3:$I$976,6)=LEFT(I31,6))))</f>
        <v/>
      </c>
      <c r="K31" s="135" t="s">
        <v>422</v>
      </c>
      <c r="L31" s="135" cm="1">
        <f t="array" ref="L31">IF(LEFT(K31,6)=LEFT(K32,6),"",SUM(_xlfn._xlws.FILTER($M$3:$M$976,LEFT($K$3:$K$976,6)=LEFT(K31,6))))</f>
        <v>65</v>
      </c>
      <c r="M31" s="126">
        <v>65</v>
      </c>
      <c r="N31" s="126" t="s">
        <v>331</v>
      </c>
      <c r="O31" s="155" t="s">
        <v>167</v>
      </c>
      <c r="P31" s="126"/>
      <c r="Q31" s="156"/>
      <c r="R31" s="157">
        <v>0.09</v>
      </c>
      <c r="S31" s="157">
        <v>0.01</v>
      </c>
      <c r="T31" s="157">
        <v>0.59899999999999998</v>
      </c>
      <c r="U31" s="157">
        <v>5.6000000000000001E-2</v>
      </c>
      <c r="V31" s="157">
        <v>8.0000000000000002E-3</v>
      </c>
      <c r="W31" s="126" t="s">
        <v>298</v>
      </c>
    </row>
    <row r="32" spans="6:23">
      <c r="F32" s="126" t="s">
        <v>423</v>
      </c>
      <c r="G32" s="165" t="s">
        <v>424</v>
      </c>
      <c r="H32" s="135" t="str" cm="1">
        <f t="array" ref="H32">IF(LEFT(G32,6)=LEFT(G33,6),"",SUM(_xlfn._xlws.FILTER($M$3:$M$976,LEFT($G$3:$G$976,6)=LEFT(G32,6))))</f>
        <v/>
      </c>
      <c r="I32" s="166" t="s">
        <v>425</v>
      </c>
      <c r="J32" s="135" t="str" cm="1">
        <f t="array" ref="J32">IF(LEFT(I32,6)=LEFT(I33,6),"",SUM(_xlfn._xlws.FILTER($M$3:$M$976,LEFT($I$3:$I$976,6)=LEFT(I32,6))))</f>
        <v/>
      </c>
      <c r="K32" s="135" t="s">
        <v>426</v>
      </c>
      <c r="L32" s="135" t="str" cm="1">
        <f t="array" ref="L32">IF(LEFT(K32,6)=LEFT(K33,6),"",SUM(_xlfn._xlws.FILTER($M$3:$M$976,LEFT($K$3:$K$976,6)=LEFT(K32,6))))</f>
        <v/>
      </c>
      <c r="M32" s="126">
        <v>59</v>
      </c>
      <c r="N32" s="126" t="s">
        <v>331</v>
      </c>
      <c r="O32" s="155" t="s">
        <v>167</v>
      </c>
      <c r="P32" s="126"/>
      <c r="Q32" s="156"/>
      <c r="R32" s="157">
        <v>2.9000000000000001E-2</v>
      </c>
      <c r="S32" s="157">
        <v>1E-3</v>
      </c>
      <c r="T32" s="157">
        <v>0.20599999999999999</v>
      </c>
      <c r="U32" s="157">
        <v>3.1E-2</v>
      </c>
      <c r="V32" s="157">
        <v>1.6E-2</v>
      </c>
      <c r="W32" s="126" t="s">
        <v>298</v>
      </c>
    </row>
    <row r="33" spans="6:23">
      <c r="F33" s="126" t="s">
        <v>427</v>
      </c>
      <c r="G33" s="165" t="s">
        <v>428</v>
      </c>
      <c r="H33" s="135" t="str" cm="1">
        <f t="array" ref="H33">IF(LEFT(G33,6)=LEFT(G34,6),"",SUM(_xlfn._xlws.FILTER($M$3:$M$976,LEFT($G$3:$G$976,6)=LEFT(G33,6))))</f>
        <v/>
      </c>
      <c r="I33" s="166" t="s">
        <v>429</v>
      </c>
      <c r="J33" s="135" cm="1">
        <f t="array" ref="J33">IF(LEFT(I33,6)=LEFT(I34,6),"",SUM(_xlfn._xlws.FILTER($M$3:$M$976,LEFT($I$3:$I$976,6)=LEFT(I33,6))))</f>
        <v>292</v>
      </c>
      <c r="K33" s="135" t="s">
        <v>430</v>
      </c>
      <c r="L33" s="135" cm="1">
        <f t="array" ref="L33">IF(LEFT(K33,6)=LEFT(K34,6),"",SUM(_xlfn._xlws.FILTER($M$3:$M$976,LEFT($K$3:$K$976,6)=LEFT(K33,6))))</f>
        <v>104</v>
      </c>
      <c r="M33" s="126">
        <v>45</v>
      </c>
      <c r="N33" s="126" t="s">
        <v>331</v>
      </c>
      <c r="O33" s="155" t="s">
        <v>171</v>
      </c>
      <c r="P33" s="126"/>
      <c r="Q33" s="156"/>
      <c r="R33" s="157">
        <v>0.16</v>
      </c>
      <c r="S33" s="157">
        <v>0.01</v>
      </c>
      <c r="T33" s="157">
        <v>0.46700000000000003</v>
      </c>
      <c r="U33" s="157">
        <v>4.2000000000000003E-2</v>
      </c>
      <c r="V33" s="157">
        <v>1.0999999999999999E-2</v>
      </c>
      <c r="W33" s="126" t="s">
        <v>298</v>
      </c>
    </row>
    <row r="34" spans="6:23">
      <c r="F34" s="126" t="s">
        <v>431</v>
      </c>
      <c r="G34" s="165" t="s">
        <v>432</v>
      </c>
      <c r="H34" s="135" t="str" cm="1">
        <f t="array" ref="H34">IF(LEFT(G34,6)=LEFT(G35,6),"",SUM(_xlfn._xlws.FILTER($M$3:$M$976,LEFT($G$3:$G$976,6)=LEFT(G34,6))))</f>
        <v/>
      </c>
      <c r="I34" s="167" t="s">
        <v>433</v>
      </c>
      <c r="J34" s="135" t="str" cm="1">
        <f t="array" ref="J34">IF(LEFT(I34,6)=LEFT(I35,6),"",SUM(_xlfn._xlws.FILTER($M$3:$M$976,LEFT($I$3:$I$976,6)=LEFT(I34,6))))</f>
        <v/>
      </c>
      <c r="K34" s="135" t="s">
        <v>434</v>
      </c>
      <c r="L34" s="135" cm="1">
        <f t="array" ref="L34">IF(LEFT(K34,6)=LEFT(K35,6),"",SUM(_xlfn._xlws.FILTER($M$3:$M$976,LEFT($K$3:$K$976,6)=LEFT(K34,6))))</f>
        <v>71</v>
      </c>
      <c r="M34" s="126">
        <v>71</v>
      </c>
      <c r="N34" s="126" t="s">
        <v>331</v>
      </c>
      <c r="O34" s="126" t="s">
        <v>171</v>
      </c>
      <c r="P34" s="126" t="s">
        <v>435</v>
      </c>
      <c r="Q34" s="168"/>
      <c r="R34" s="126"/>
      <c r="S34" s="126"/>
      <c r="T34" s="126"/>
      <c r="U34" s="126"/>
      <c r="V34" s="126"/>
      <c r="W34" s="126"/>
    </row>
    <row r="35" spans="6:23">
      <c r="F35" s="126" t="s">
        <v>436</v>
      </c>
      <c r="G35" s="165" t="s">
        <v>437</v>
      </c>
      <c r="H35" s="135" t="str" cm="1">
        <f t="array" ref="H35">IF(LEFT(G35,6)=LEFT(G36,6),"",SUM(_xlfn._xlws.FILTER($M$3:$M$976,LEFT($G$3:$G$976,6)=LEFT(G35,6))))</f>
        <v/>
      </c>
      <c r="I35" s="167" t="s">
        <v>438</v>
      </c>
      <c r="J35" s="135" t="str" cm="1">
        <f t="array" ref="J35">IF(LEFT(I35,6)=LEFT(I36,6),"",SUM(_xlfn._xlws.FILTER($M$3:$M$976,LEFT($I$3:$I$976,6)=LEFT(I35,6))))</f>
        <v/>
      </c>
      <c r="K35" s="135" t="s">
        <v>439</v>
      </c>
      <c r="L35" s="135" t="str" cm="1">
        <f t="array" ref="L35">IF(LEFT(K35,6)=LEFT(K36,6),"",SUM(_xlfn._xlws.FILTER($M$3:$M$976,LEFT($K$3:$K$976,6)=LEFT(K35,6))))</f>
        <v/>
      </c>
      <c r="M35" s="126">
        <v>54</v>
      </c>
      <c r="N35" s="126" t="s">
        <v>331</v>
      </c>
      <c r="O35" s="126" t="s">
        <v>163</v>
      </c>
      <c r="P35" s="126" t="s">
        <v>435</v>
      </c>
      <c r="Q35" s="168"/>
      <c r="R35" s="126"/>
      <c r="S35" s="126"/>
      <c r="T35" s="126"/>
      <c r="U35" s="126"/>
      <c r="V35" s="126"/>
      <c r="W35" s="126"/>
    </row>
    <row r="36" spans="6:23">
      <c r="F36" s="126" t="s">
        <v>440</v>
      </c>
      <c r="G36" s="165" t="s">
        <v>441</v>
      </c>
      <c r="H36" s="135" t="str" cm="1">
        <f t="array" ref="H36">IF(LEFT(G36,6)=LEFT(G37,6),"",SUM(_xlfn._xlws.FILTER($M$3:$M$976,LEFT($G$3:$G$976,6)=LEFT(G36,6))))</f>
        <v/>
      </c>
      <c r="I36" s="167" t="s">
        <v>442</v>
      </c>
      <c r="J36" s="135" t="str" cm="1">
        <f t="array" ref="J36">IF(LEFT(I36,6)=LEFT(I37,6),"",SUM(_xlfn._xlws.FILTER($M$3:$M$976,LEFT($I$3:$I$976,6)=LEFT(I36,6))))</f>
        <v/>
      </c>
      <c r="K36" s="135" t="s">
        <v>443</v>
      </c>
      <c r="L36" s="135" t="str" cm="1">
        <f t="array" ref="L36">IF(LEFT(K36,6)=LEFT(K37,6),"",SUM(_xlfn._xlws.FILTER($M$3:$M$976,LEFT($K$3:$K$976,6)=LEFT(K36,6))))</f>
        <v/>
      </c>
      <c r="M36" s="126">
        <v>38</v>
      </c>
      <c r="N36" s="126" t="s">
        <v>331</v>
      </c>
      <c r="O36" s="126" t="s">
        <v>163</v>
      </c>
      <c r="P36" s="126" t="s">
        <v>435</v>
      </c>
      <c r="Q36" s="168"/>
      <c r="R36" s="126"/>
      <c r="S36" s="126"/>
      <c r="T36" s="126"/>
      <c r="U36" s="126"/>
      <c r="V36" s="126"/>
      <c r="W36" s="126"/>
    </row>
    <row r="37" spans="6:23">
      <c r="F37" s="126" t="s">
        <v>444</v>
      </c>
      <c r="G37" s="165" t="s">
        <v>445</v>
      </c>
      <c r="H37" s="135" t="str" cm="1">
        <f t="array" ref="H37">IF(LEFT(G37,6)=LEFT(G38,6),"",SUM(_xlfn._xlws.FILTER($M$3:$M$976,LEFT($G$3:$G$976,6)=LEFT(G37,6))))</f>
        <v/>
      </c>
      <c r="I37" s="167" t="s">
        <v>446</v>
      </c>
      <c r="J37" s="135" t="str" cm="1">
        <f t="array" ref="J37">IF(LEFT(I37,6)=LEFT(I38,6),"",SUM(_xlfn._xlws.FILTER($M$3:$M$976,LEFT($I$3:$I$976,6)=LEFT(I37,6))))</f>
        <v/>
      </c>
      <c r="K37" s="135" t="s">
        <v>447</v>
      </c>
      <c r="L37" s="135" t="str" cm="1">
        <f t="array" ref="L37">IF(LEFT(K37,6)=LEFT(K38,6),"",SUM(_xlfn._xlws.FILTER($M$3:$M$976,LEFT($K$3:$K$976,6)=LEFT(K37,6))))</f>
        <v/>
      </c>
      <c r="M37" s="126">
        <v>40</v>
      </c>
      <c r="N37" s="126" t="s">
        <v>331</v>
      </c>
      <c r="O37" s="126" t="s">
        <v>167</v>
      </c>
      <c r="P37" s="126" t="s">
        <v>435</v>
      </c>
      <c r="Q37" s="168"/>
      <c r="R37" s="126"/>
      <c r="S37" s="126"/>
      <c r="T37" s="126"/>
      <c r="U37" s="126"/>
      <c r="V37" s="126"/>
      <c r="W37" s="126"/>
    </row>
    <row r="38" spans="6:23">
      <c r="F38" s="126" t="s">
        <v>448</v>
      </c>
      <c r="G38" s="165" t="s">
        <v>449</v>
      </c>
      <c r="H38" s="135" t="str" cm="1">
        <f t="array" ref="H38">IF(LEFT(G38,6)=LEFT(G39,6),"",SUM(_xlfn._xlws.FILTER($M$3:$M$976,LEFT($G$3:$G$976,6)=LEFT(G38,6))))</f>
        <v/>
      </c>
      <c r="I38" s="167" t="s">
        <v>450</v>
      </c>
      <c r="J38" s="135" cm="1">
        <f t="array" ref="J38">IF(LEFT(I38,6)=LEFT(I39,6),"",SUM(_xlfn._xlws.FILTER($M$3:$M$976,LEFT($I$3:$I$976,6)=LEFT(I38,6))))</f>
        <v>254</v>
      </c>
      <c r="K38" s="135" t="s">
        <v>451</v>
      </c>
      <c r="L38" s="135" cm="1">
        <f t="array" ref="L38">IF(LEFT(K38,6)=LEFT(K39,6),"",SUM(_xlfn._xlws.FILTER($M$3:$M$976,LEFT($K$3:$K$976,6)=LEFT(K38,6))))</f>
        <v>183</v>
      </c>
      <c r="M38" s="126">
        <v>51</v>
      </c>
      <c r="N38" s="126" t="s">
        <v>331</v>
      </c>
      <c r="O38" s="126" t="s">
        <v>167</v>
      </c>
      <c r="P38" s="126" t="s">
        <v>435</v>
      </c>
      <c r="Q38" s="168"/>
      <c r="R38" s="126"/>
      <c r="S38" s="126"/>
      <c r="T38" s="126"/>
      <c r="U38" s="126"/>
      <c r="V38" s="126"/>
      <c r="W38" s="126"/>
    </row>
    <row r="39" spans="6:23">
      <c r="F39" s="126" t="s">
        <v>452</v>
      </c>
      <c r="G39" s="165" t="s">
        <v>453</v>
      </c>
      <c r="H39" s="135" t="str" cm="1">
        <f t="array" ref="H39">IF(LEFT(G39,6)=LEFT(G40,6),"",SUM(_xlfn._xlws.FILTER($M$3:$M$976,LEFT($G$3:$G$976,6)=LEFT(G39,6))))</f>
        <v/>
      </c>
      <c r="I39" s="158" t="s">
        <v>454</v>
      </c>
      <c r="J39" s="135" t="str" cm="1">
        <f t="array" ref="J39">IF(LEFT(I39,6)=LEFT(I40,6),"",SUM(_xlfn._xlws.FILTER($M$3:$M$976,LEFT($I$3:$I$976,6)=LEFT(I39,6))))</f>
        <v/>
      </c>
      <c r="K39" s="135" t="s">
        <v>455</v>
      </c>
      <c r="L39" s="135" t="str" cm="1">
        <f t="array" ref="L39">IF(LEFT(K39,6)=LEFT(K40,6),"",SUM(_xlfn._xlws.FILTER($M$3:$M$976,LEFT($K$3:$K$976,6)=LEFT(K39,6))))</f>
        <v/>
      </c>
      <c r="M39" s="126">
        <v>49</v>
      </c>
      <c r="N39" s="126" t="s">
        <v>456</v>
      </c>
      <c r="O39" s="126" t="s">
        <v>163</v>
      </c>
      <c r="P39" s="126" t="s">
        <v>360</v>
      </c>
      <c r="Q39" s="168"/>
      <c r="R39" s="126"/>
      <c r="S39" s="126"/>
      <c r="T39" s="126"/>
      <c r="U39" s="126"/>
      <c r="V39" s="126"/>
      <c r="W39" s="126"/>
    </row>
    <row r="40" spans="6:23">
      <c r="F40" s="126" t="s">
        <v>457</v>
      </c>
      <c r="G40" s="165" t="s">
        <v>458</v>
      </c>
      <c r="H40" s="135" t="str" cm="1">
        <f t="array" ref="H40">IF(LEFT(G40,6)=LEFT(G41,6),"",SUM(_xlfn._xlws.FILTER($M$3:$M$976,LEFT($G$3:$G$976,6)=LEFT(G40,6))))</f>
        <v/>
      </c>
      <c r="I40" s="158" t="s">
        <v>459</v>
      </c>
      <c r="J40" s="135" t="str" cm="1">
        <f t="array" ref="J40">IF(LEFT(I40,6)=LEFT(I41,6),"",SUM(_xlfn._xlws.FILTER($M$3:$M$976,LEFT($I$3:$I$976,6)=LEFT(I40,6))))</f>
        <v/>
      </c>
      <c r="K40" s="135" t="s">
        <v>460</v>
      </c>
      <c r="L40" s="135" t="str" cm="1">
        <f t="array" ref="L40">IF(LEFT(K40,6)=LEFT(K41,6),"",SUM(_xlfn._xlws.FILTER($M$3:$M$976,LEFT($K$3:$K$976,6)=LEFT(K40,6))))</f>
        <v/>
      </c>
      <c r="M40" s="126">
        <v>50</v>
      </c>
      <c r="N40" s="126" t="s">
        <v>456</v>
      </c>
      <c r="O40" s="126" t="s">
        <v>163</v>
      </c>
      <c r="P40" s="126" t="s">
        <v>435</v>
      </c>
      <c r="Q40" s="168"/>
      <c r="R40" s="126"/>
      <c r="S40" s="126"/>
      <c r="T40" s="126"/>
      <c r="U40" s="126"/>
      <c r="V40" s="126"/>
      <c r="W40" s="126"/>
    </row>
    <row r="41" spans="6:23">
      <c r="F41" s="126" t="s">
        <v>461</v>
      </c>
      <c r="G41" s="165" t="s">
        <v>462</v>
      </c>
      <c r="H41" s="135" t="str" cm="1">
        <f t="array" ref="H41">IF(LEFT(G41,6)=LEFT(G42,6),"",SUM(_xlfn._xlws.FILTER($M$3:$M$976,LEFT($G$3:$G$976,6)=LEFT(G41,6))))</f>
        <v/>
      </c>
      <c r="I41" s="158" t="s">
        <v>463</v>
      </c>
      <c r="J41" s="135" t="str" cm="1">
        <f t="array" ref="J41">IF(LEFT(I41,6)=LEFT(I42,6),"",SUM(_xlfn._xlws.FILTER($M$3:$M$976,LEFT($I$3:$I$976,6)=LEFT(I41,6))))</f>
        <v/>
      </c>
      <c r="K41" s="135" t="s">
        <v>464</v>
      </c>
      <c r="L41" s="135" t="str" cm="1">
        <f t="array" ref="L41">IF(LEFT(K41,6)=LEFT(K42,6),"",SUM(_xlfn._xlws.FILTER($M$3:$M$976,LEFT($K$3:$K$976,6)=LEFT(K41,6))))</f>
        <v/>
      </c>
      <c r="M41" s="126">
        <v>45</v>
      </c>
      <c r="N41" s="126" t="s">
        <v>456</v>
      </c>
      <c r="O41" s="126" t="s">
        <v>171</v>
      </c>
      <c r="P41" s="126" t="s">
        <v>435</v>
      </c>
      <c r="Q41" s="168"/>
      <c r="R41" s="126"/>
      <c r="S41" s="126"/>
      <c r="T41" s="126"/>
      <c r="U41" s="126"/>
      <c r="V41" s="126"/>
      <c r="W41" s="126"/>
    </row>
    <row r="42" spans="6:23">
      <c r="F42" s="126" t="s">
        <v>465</v>
      </c>
      <c r="G42" s="165" t="s">
        <v>466</v>
      </c>
      <c r="H42" s="135" t="str" cm="1">
        <f t="array" ref="H42">IF(LEFT(G42,6)=LEFT(G43,6),"",SUM(_xlfn._xlws.FILTER($M$3:$M$976,LEFT($G$3:$G$976,6)=LEFT(G42,6))))</f>
        <v/>
      </c>
      <c r="I42" s="158" t="s">
        <v>467</v>
      </c>
      <c r="J42" s="135" t="str" cm="1">
        <f t="array" ref="J42">IF(LEFT(I42,6)=LEFT(I43,6),"",SUM(_xlfn._xlws.FILTER($M$3:$M$976,LEFT($I$3:$I$976,6)=LEFT(I42,6))))</f>
        <v/>
      </c>
      <c r="K42" s="135" t="s">
        <v>468</v>
      </c>
      <c r="L42" s="135" t="str" cm="1">
        <f t="array" ref="L42">IF(LEFT(K42,6)=LEFT(K43,6),"",SUM(_xlfn._xlws.FILTER($M$3:$M$976,LEFT($K$3:$K$976,6)=LEFT(K42,6))))</f>
        <v/>
      </c>
      <c r="M42" s="126">
        <v>73</v>
      </c>
      <c r="N42" s="126" t="s">
        <v>456</v>
      </c>
      <c r="O42" s="126" t="s">
        <v>160</v>
      </c>
      <c r="P42" s="126" t="s">
        <v>435</v>
      </c>
      <c r="Q42" s="168"/>
      <c r="R42" s="126"/>
      <c r="S42" s="126"/>
      <c r="T42" s="126"/>
      <c r="U42" s="126"/>
      <c r="V42" s="126"/>
      <c r="W42" s="126"/>
    </row>
    <row r="43" spans="6:23">
      <c r="F43" s="126" t="s">
        <v>469</v>
      </c>
      <c r="G43" s="165" t="s">
        <v>470</v>
      </c>
      <c r="H43" s="135" t="str" cm="1">
        <f t="array" ref="H43">IF(LEFT(G43,6)=LEFT(G44,6),"",SUM(_xlfn._xlws.FILTER($M$3:$M$976,LEFT($G$3:$G$976,6)=LEFT(G43,6))))</f>
        <v/>
      </c>
      <c r="I43" s="158" t="s">
        <v>471</v>
      </c>
      <c r="J43" s="135" t="str" cm="1">
        <f t="array" ref="J43">IF(LEFT(I43,6)=LEFT(I44,6),"",SUM(_xlfn._xlws.FILTER($M$3:$M$976,LEFT($I$3:$I$976,6)=LEFT(I43,6))))</f>
        <v/>
      </c>
      <c r="K43" s="135" t="s">
        <v>472</v>
      </c>
      <c r="L43" s="135" t="str" cm="1">
        <f t="array" ref="L43">IF(LEFT(K43,6)=LEFT(K44,6),"",SUM(_xlfn._xlws.FILTER($M$3:$M$976,LEFT($K$3:$K$976,6)=LEFT(K43,6))))</f>
        <v/>
      </c>
      <c r="M43" s="126">
        <v>52</v>
      </c>
      <c r="N43" s="126" t="s">
        <v>456</v>
      </c>
      <c r="O43" s="126" t="s">
        <v>163</v>
      </c>
      <c r="P43" s="126" t="s">
        <v>435</v>
      </c>
      <c r="R43" s="126"/>
      <c r="S43" s="126"/>
      <c r="T43" s="126"/>
      <c r="U43" s="126"/>
      <c r="V43" s="126"/>
      <c r="W43" s="126"/>
    </row>
    <row r="44" spans="6:23">
      <c r="F44" s="126" t="s">
        <v>473</v>
      </c>
      <c r="G44" s="165" t="s">
        <v>474</v>
      </c>
      <c r="H44" s="135" cm="1">
        <f t="array" ref="H44">IF(LEFT(G44,6)=LEFT(G45,6),"",SUM(_xlfn._xlws.FILTER($M$3:$M$976,LEFT($G$3:$G$976,6)=LEFT(G44,6))))</f>
        <v>866</v>
      </c>
      <c r="I44" s="158" t="s">
        <v>475</v>
      </c>
      <c r="J44" s="135" cm="1">
        <f t="array" ref="J44">IF(LEFT(I44,6)=LEFT(I45,6),"",SUM(_xlfn._xlws.FILTER($M$3:$M$976,LEFT($I$3:$I$976,6)=LEFT(I44,6))))</f>
        <v>320</v>
      </c>
      <c r="K44" s="135" t="s">
        <v>476</v>
      </c>
      <c r="L44" s="135" cm="1">
        <f t="array" ref="L44">IF(LEFT(K44,6)=LEFT(K45,6),"",SUM(_xlfn._xlws.FILTER($M$3:$M$976,LEFT($K$3:$K$976,6)=LEFT(K44,6))))</f>
        <v>320</v>
      </c>
      <c r="M44" s="126">
        <v>51</v>
      </c>
      <c r="N44" s="126" t="s">
        <v>456</v>
      </c>
      <c r="O44" s="126" t="s">
        <v>171</v>
      </c>
      <c r="P44" s="14"/>
      <c r="Q44" s="156" t="s">
        <v>410</v>
      </c>
      <c r="R44" s="14"/>
      <c r="S44" s="14"/>
      <c r="T44" s="14"/>
      <c r="U44" s="14"/>
      <c r="V44" s="14"/>
      <c r="W44" s="14"/>
    </row>
    <row r="45" spans="6:23">
      <c r="F45" s="126" t="s">
        <v>477</v>
      </c>
      <c r="G45" s="169" t="s">
        <v>478</v>
      </c>
      <c r="H45" s="135" t="str" cm="1">
        <f t="array" ref="H45">IF(LEFT(G45,6)=LEFT(G46,6),"",SUM(_xlfn._xlws.FILTER($M$3:$M$976,LEFT($G$3:$G$976,6)=LEFT(G45,6))))</f>
        <v/>
      </c>
      <c r="I45" s="162" t="s">
        <v>479</v>
      </c>
      <c r="J45" s="135" t="str" cm="1">
        <f t="array" ref="J45">IF(LEFT(I45,6)=LEFT(I46,6),"",SUM(_xlfn._xlws.FILTER($M$3:$M$976,LEFT($I$3:$I$976,6)=LEFT(I45,6))))</f>
        <v/>
      </c>
      <c r="K45" s="135" t="s">
        <v>480</v>
      </c>
      <c r="L45" s="135" t="str" cm="1">
        <f t="array" ref="L45">IF(LEFT(K45,6)=LEFT(K46,6),"",SUM(_xlfn._xlws.FILTER($M$3:$M$976,LEFT($K$3:$K$976,6)=LEFT(K45,6))))</f>
        <v/>
      </c>
      <c r="M45" s="126">
        <v>51</v>
      </c>
      <c r="N45" s="126" t="s">
        <v>292</v>
      </c>
      <c r="O45" s="126" t="s">
        <v>171</v>
      </c>
      <c r="P45" s="14"/>
      <c r="Q45" s="168"/>
      <c r="R45" s="14"/>
      <c r="S45" s="14"/>
      <c r="T45" s="14"/>
      <c r="U45" s="14"/>
      <c r="V45" s="14"/>
      <c r="W45" s="14"/>
    </row>
    <row r="46" spans="6:23">
      <c r="F46" s="126" t="s">
        <v>481</v>
      </c>
      <c r="G46" s="169" t="s">
        <v>482</v>
      </c>
      <c r="H46" s="135" t="str" cm="1">
        <f t="array" ref="H46">IF(LEFT(G46,6)=LEFT(G47,6),"",SUM(_xlfn._xlws.FILTER($M$3:$M$976,LEFT($G$3:$G$976,6)=LEFT(G46,6))))</f>
        <v/>
      </c>
      <c r="I46" s="162" t="s">
        <v>483</v>
      </c>
      <c r="J46" s="135" t="str" cm="1">
        <f t="array" ref="J46">IF(LEFT(I46,6)=LEFT(I47,6),"",SUM(_xlfn._xlws.FILTER($M$3:$M$976,LEFT($I$3:$I$976,6)=LEFT(I46,6))))</f>
        <v/>
      </c>
      <c r="K46" s="135" t="s">
        <v>484</v>
      </c>
      <c r="L46" s="135" t="str" cm="1">
        <f t="array" ref="L46">IF(LEFT(K46,6)=LEFT(K47,6),"",SUM(_xlfn._xlws.FILTER($M$3:$M$976,LEFT($K$3:$K$976,6)=LEFT(K46,6))))</f>
        <v/>
      </c>
      <c r="M46" s="126">
        <v>68</v>
      </c>
      <c r="N46" s="126" t="s">
        <v>292</v>
      </c>
      <c r="O46" s="126" t="s">
        <v>160</v>
      </c>
      <c r="P46" s="14"/>
      <c r="Q46" s="168"/>
      <c r="R46" s="14"/>
      <c r="S46" s="14"/>
      <c r="T46" s="14"/>
      <c r="U46" s="14"/>
      <c r="V46" s="14"/>
      <c r="W46" s="14"/>
    </row>
    <row r="47" spans="6:23">
      <c r="F47" s="126" t="s">
        <v>485</v>
      </c>
      <c r="G47" s="169" t="s">
        <v>486</v>
      </c>
      <c r="H47" s="135" t="str" cm="1">
        <f t="array" ref="H47">IF(LEFT(G47,6)=LEFT(G48,6),"",SUM(_xlfn._xlws.FILTER($M$3:$M$976,LEFT($G$3:$G$976,6)=LEFT(G47,6))))</f>
        <v/>
      </c>
      <c r="I47" s="162" t="s">
        <v>487</v>
      </c>
      <c r="J47" s="135" t="str" cm="1">
        <f t="array" ref="J47">IF(LEFT(I47,6)=LEFT(I48,6),"",SUM(_xlfn._xlws.FILTER($M$3:$M$976,LEFT($I$3:$I$976,6)=LEFT(I47,6))))</f>
        <v/>
      </c>
      <c r="K47" s="135" t="s">
        <v>488</v>
      </c>
      <c r="L47" s="135" t="str" cm="1">
        <f t="array" ref="L47">IF(LEFT(K47,6)=LEFT(K48,6),"",SUM(_xlfn._xlws.FILTER($M$3:$M$976,LEFT($K$3:$K$976,6)=LEFT(K47,6))))</f>
        <v/>
      </c>
      <c r="M47" s="126">
        <v>51</v>
      </c>
      <c r="N47" s="126" t="s">
        <v>331</v>
      </c>
      <c r="O47" s="126" t="s">
        <v>160</v>
      </c>
      <c r="P47" s="14"/>
      <c r="Q47" s="168"/>
      <c r="R47" s="14"/>
      <c r="S47" s="14"/>
      <c r="T47" s="14"/>
      <c r="U47" s="14"/>
      <c r="V47" s="14"/>
      <c r="W47" s="14"/>
    </row>
    <row r="48" spans="6:23">
      <c r="F48" s="126" t="s">
        <v>489</v>
      </c>
      <c r="G48" s="169" t="s">
        <v>490</v>
      </c>
      <c r="H48" s="135" t="str" cm="1">
        <f t="array" ref="H48">IF(LEFT(G48,6)=LEFT(G49,6),"",SUM(_xlfn._xlws.FILTER($M$3:$M$976,LEFT($G$3:$G$976,6)=LEFT(G48,6))))</f>
        <v/>
      </c>
      <c r="I48" s="162" t="s">
        <v>491</v>
      </c>
      <c r="J48" s="135" t="str" cm="1">
        <f t="array" ref="J48">IF(LEFT(I48,6)=LEFT(I49,6),"",SUM(_xlfn._xlws.FILTER($M$3:$M$976,LEFT($I$3:$I$976,6)=LEFT(I48,6))))</f>
        <v/>
      </c>
      <c r="K48" s="135" t="s">
        <v>492</v>
      </c>
      <c r="L48" s="135" t="str" cm="1">
        <f t="array" ref="L48">IF(LEFT(K48,6)=LEFT(K49,6),"",SUM(_xlfn._xlws.FILTER($M$3:$M$976,LEFT($K$3:$K$976,6)=LEFT(K48,6))))</f>
        <v/>
      </c>
      <c r="M48" s="126">
        <v>69</v>
      </c>
      <c r="N48" s="126" t="s">
        <v>331</v>
      </c>
      <c r="O48" s="126" t="s">
        <v>163</v>
      </c>
      <c r="P48" s="14"/>
      <c r="Q48" s="168"/>
      <c r="R48" s="14"/>
      <c r="S48" s="14"/>
      <c r="T48" s="14"/>
      <c r="U48" s="14"/>
      <c r="V48" s="14"/>
      <c r="W48" s="14"/>
    </row>
    <row r="49" spans="3:23">
      <c r="F49" s="126" t="s">
        <v>493</v>
      </c>
      <c r="G49" s="169" t="s">
        <v>494</v>
      </c>
      <c r="H49" s="135" t="str" cm="1">
        <f t="array" ref="H49">IF(LEFT(G49,6)=LEFT(G50,6),"",SUM(_xlfn._xlws.FILTER($M$3:$M$976,LEFT($G$3:$G$976,6)=LEFT(G49,6))))</f>
        <v/>
      </c>
      <c r="I49" s="162" t="s">
        <v>495</v>
      </c>
      <c r="J49" s="135" t="str" cm="1">
        <f t="array" ref="J49">IF(LEFT(I49,6)=LEFT(I50,6),"",SUM(_xlfn._xlws.FILTER($M$3:$M$976,LEFT($I$3:$I$976,6)=LEFT(I49,6))))</f>
        <v/>
      </c>
      <c r="K49" s="135" t="s">
        <v>496</v>
      </c>
      <c r="L49" s="135" cm="1">
        <f t="array" ref="L49">IF(LEFT(K49,6)=LEFT(K50,6),"",SUM(_xlfn._xlws.FILTER($M$3:$M$976,LEFT($K$3:$K$976,6)=LEFT(K49,6))))</f>
        <v>290</v>
      </c>
      <c r="M49" s="126">
        <v>51</v>
      </c>
      <c r="N49" s="126" t="s">
        <v>331</v>
      </c>
      <c r="O49" s="126" t="s">
        <v>171</v>
      </c>
      <c r="P49" s="14"/>
      <c r="Q49" s="168"/>
      <c r="R49" s="14"/>
      <c r="S49" s="14"/>
      <c r="T49" s="14"/>
      <c r="U49" s="14"/>
      <c r="V49" s="14"/>
      <c r="W49" s="14"/>
    </row>
    <row r="50" spans="3:23">
      <c r="F50" s="126" t="s">
        <v>497</v>
      </c>
      <c r="G50" s="169" t="s">
        <v>498</v>
      </c>
      <c r="H50" s="135" t="str" cm="1">
        <f t="array" ref="H50">IF(LEFT(G50,6)=LEFT(G51,6),"",SUM(_xlfn._xlws.FILTER($M$3:$M$976,LEFT($G$3:$G$976,6)=LEFT(G50,6))))</f>
        <v/>
      </c>
      <c r="I50" s="162" t="s">
        <v>499</v>
      </c>
      <c r="J50" s="135" cm="1">
        <f t="array" ref="J50">IF(LEFT(I50,6)=LEFT(I51,6),"",SUM(_xlfn._xlws.FILTER($M$3:$M$976,LEFT($I$3:$I$976,6)=LEFT(I50,6))))</f>
        <v>340</v>
      </c>
      <c r="K50" s="135" t="s">
        <v>500</v>
      </c>
      <c r="L50" s="135" cm="1">
        <f t="array" ref="L50">IF(LEFT(K50,6)=LEFT(K51,6),"",SUM(_xlfn._xlws.FILTER($M$3:$M$976,LEFT($K$3:$K$976,6)=LEFT(K50,6))))</f>
        <v>50</v>
      </c>
      <c r="M50" s="126">
        <v>50</v>
      </c>
      <c r="N50" s="126" t="s">
        <v>331</v>
      </c>
      <c r="O50" s="126" t="s">
        <v>171</v>
      </c>
      <c r="P50" s="14"/>
      <c r="Q50" s="168"/>
      <c r="R50" s="14"/>
      <c r="S50" s="14"/>
      <c r="T50" s="14"/>
      <c r="U50" s="14"/>
      <c r="V50" s="14"/>
      <c r="W50" s="14"/>
    </row>
    <row r="51" spans="3:23">
      <c r="F51" s="126" t="s">
        <v>501</v>
      </c>
      <c r="G51" s="169" t="s">
        <v>502</v>
      </c>
      <c r="H51" s="135" t="str" cm="1">
        <f t="array" ref="H51">IF(LEFT(G51,6)=LEFT(G52,6),"",SUM(_xlfn._xlws.FILTER($M$3:$M$976,LEFT($G$3:$G$976,6)=LEFT(G51,6))))</f>
        <v/>
      </c>
      <c r="I51" s="161" t="s">
        <v>503</v>
      </c>
      <c r="J51" s="135" t="str" cm="1">
        <f t="array" ref="J51">IF(LEFT(I51,6)=LEFT(I52,6),"",SUM(_xlfn._xlws.FILTER($M$3:$M$976,LEFT($I$3:$I$976,6)=LEFT(I51,6))))</f>
        <v/>
      </c>
      <c r="K51" s="135" t="s">
        <v>504</v>
      </c>
      <c r="L51" s="135" t="str" cm="1">
        <f t="array" ref="L51">IF(LEFT(K51,6)=LEFT(K52,6),"",SUM(_xlfn._xlws.FILTER($M$3:$M$976,LEFT($K$3:$K$976,6)=LEFT(K51,6))))</f>
        <v/>
      </c>
      <c r="M51" s="126">
        <v>46</v>
      </c>
      <c r="N51" s="126" t="s">
        <v>331</v>
      </c>
      <c r="O51" s="126" t="s">
        <v>160</v>
      </c>
      <c r="P51" s="14"/>
      <c r="Q51" s="168"/>
      <c r="R51" s="14"/>
      <c r="S51" s="14"/>
      <c r="T51" s="14"/>
      <c r="U51" s="14"/>
      <c r="V51" s="14"/>
      <c r="W51" s="14"/>
    </row>
    <row r="52" spans="3:23">
      <c r="F52" s="126" t="s">
        <v>505</v>
      </c>
      <c r="G52" s="169" t="s">
        <v>506</v>
      </c>
      <c r="H52" s="135" t="str" cm="1">
        <f t="array" ref="H52">IF(LEFT(G52,6)=LEFT(G53,6),"",SUM(_xlfn._xlws.FILTER($M$3:$M$976,LEFT($G$3:$G$976,6)=LEFT(G52,6))))</f>
        <v/>
      </c>
      <c r="I52" s="161" t="s">
        <v>507</v>
      </c>
      <c r="J52" s="135" t="str" cm="1">
        <f t="array" ref="J52">IF(LEFT(I52,6)=LEFT(I53,6),"",SUM(_xlfn._xlws.FILTER($M$3:$M$976,LEFT($I$3:$I$976,6)=LEFT(I52,6))))</f>
        <v/>
      </c>
      <c r="K52" s="135" t="s">
        <v>508</v>
      </c>
      <c r="L52" s="135" t="str" cm="1">
        <f t="array" ref="L52">IF(LEFT(K52,6)=LEFT(K53,6),"",SUM(_xlfn._xlws.FILTER($M$3:$M$976,LEFT($K$3:$K$976,6)=LEFT(K52,6))))</f>
        <v/>
      </c>
      <c r="M52" s="126">
        <v>42</v>
      </c>
      <c r="N52" s="126" t="s">
        <v>331</v>
      </c>
      <c r="O52" s="126" t="s">
        <v>160</v>
      </c>
      <c r="P52" s="14"/>
      <c r="Q52" s="168"/>
      <c r="R52" s="14"/>
      <c r="S52" s="14"/>
      <c r="T52" s="14"/>
      <c r="U52" s="14"/>
      <c r="V52" s="14"/>
      <c r="W52" s="14"/>
    </row>
    <row r="53" spans="3:23">
      <c r="F53" s="126" t="s">
        <v>509</v>
      </c>
      <c r="G53" s="169" t="s">
        <v>510</v>
      </c>
      <c r="H53" s="135" t="str" cm="1">
        <f t="array" ref="H53">IF(LEFT(G53,6)=LEFT(G54,6),"",SUM(_xlfn._xlws.FILTER($M$3:$M$976,LEFT($G$3:$G$976,6)=LEFT(G53,6))))</f>
        <v/>
      </c>
      <c r="I53" s="161" t="s">
        <v>511</v>
      </c>
      <c r="J53" s="135" t="str" cm="1">
        <f t="array" ref="J53">IF(LEFT(I53,6)=LEFT(I54,6),"",SUM(_xlfn._xlws.FILTER($M$3:$M$976,LEFT($I$3:$I$976,6)=LEFT(I53,6))))</f>
        <v/>
      </c>
      <c r="K53" s="135" t="s">
        <v>512</v>
      </c>
      <c r="L53" s="135" t="str" cm="1">
        <f t="array" ref="L53">IF(LEFT(K53,6)=LEFT(K54,6),"",SUM(_xlfn._xlws.FILTER($M$3:$M$976,LEFT($K$3:$K$976,6)=LEFT(K53,6))))</f>
        <v/>
      </c>
      <c r="M53" s="126">
        <v>44</v>
      </c>
      <c r="N53" s="126" t="s">
        <v>331</v>
      </c>
      <c r="O53" s="126" t="s">
        <v>167</v>
      </c>
      <c r="P53" s="14"/>
      <c r="Q53" s="168"/>
      <c r="R53" s="14"/>
      <c r="S53" s="14"/>
      <c r="T53" s="14"/>
      <c r="U53" s="14"/>
      <c r="V53" s="14"/>
      <c r="W53" s="14"/>
    </row>
    <row r="54" spans="3:23">
      <c r="F54" s="126" t="s">
        <v>513</v>
      </c>
      <c r="G54" s="169" t="s">
        <v>514</v>
      </c>
      <c r="H54" s="135" t="str" cm="1">
        <f t="array" ref="H54">IF(LEFT(G54,6)=LEFT(G55,6),"",SUM(_xlfn._xlws.FILTER($M$3:$M$976,LEFT($G$3:$G$976,6)=LEFT(G54,6))))</f>
        <v/>
      </c>
      <c r="I54" s="161" t="s">
        <v>515</v>
      </c>
      <c r="J54" s="135" t="str" cm="1">
        <f t="array" ref="J54">IF(LEFT(I54,6)=LEFT(I55,6),"",SUM(_xlfn._xlws.FILTER($M$3:$M$976,LEFT($I$3:$I$976,6)=LEFT(I54,6))))</f>
        <v/>
      </c>
      <c r="K54" s="135" t="s">
        <v>516</v>
      </c>
      <c r="L54" s="135" cm="1">
        <f t="array" ref="L54">IF(LEFT(K54,6)=LEFT(K55,6),"",SUM(_xlfn._xlws.FILTER($M$3:$M$976,LEFT($K$3:$K$976,6)=LEFT(K54,6))))</f>
        <v>183</v>
      </c>
      <c r="M54" s="126">
        <v>51</v>
      </c>
      <c r="N54" s="126" t="s">
        <v>331</v>
      </c>
      <c r="O54" s="126" t="s">
        <v>167</v>
      </c>
      <c r="P54" s="14"/>
      <c r="Q54" s="168"/>
      <c r="R54" s="14"/>
      <c r="S54" s="14"/>
      <c r="T54" s="14"/>
      <c r="U54" s="14"/>
      <c r="V54" s="14"/>
      <c r="W54" s="14"/>
    </row>
    <row r="55" spans="3:23">
      <c r="F55" s="126" t="s">
        <v>517</v>
      </c>
      <c r="G55" s="169" t="s">
        <v>518</v>
      </c>
      <c r="H55" s="135" t="str" cm="1">
        <f t="array" ref="H55">IF(LEFT(G55,6)=LEFT(G56,6),"",SUM(_xlfn._xlws.FILTER($M$3:$M$976,LEFT($G$3:$G$976,6)=LEFT(G55,6))))</f>
        <v/>
      </c>
      <c r="I55" s="161" t="s">
        <v>519</v>
      </c>
      <c r="J55" s="135" t="str" cm="1">
        <f t="array" ref="J55">IF(LEFT(I55,6)=LEFT(I56,6),"",SUM(_xlfn._xlws.FILTER($M$3:$M$976,LEFT($I$3:$I$976,6)=LEFT(I55,6))))</f>
        <v/>
      </c>
      <c r="K55" s="135" t="s">
        <v>520</v>
      </c>
      <c r="L55" s="135" t="str" cm="1">
        <f t="array" ref="L55">IF(LEFT(K55,6)=LEFT(K56,6),"",SUM(_xlfn._xlws.FILTER($M$3:$M$976,LEFT($K$3:$K$976,6)=LEFT(K55,6))))</f>
        <v/>
      </c>
      <c r="M55" s="126">
        <v>54</v>
      </c>
      <c r="N55" s="126" t="s">
        <v>331</v>
      </c>
      <c r="O55" s="126" t="s">
        <v>171</v>
      </c>
      <c r="P55" s="14"/>
      <c r="Q55" s="168"/>
      <c r="R55" s="14"/>
      <c r="S55" s="14"/>
      <c r="T55" s="14"/>
      <c r="U55" s="14"/>
      <c r="V55" s="14"/>
      <c r="W55" s="14"/>
    </row>
    <row r="56" spans="3:23" ht="15" customHeight="1">
      <c r="C56" s="170"/>
      <c r="F56" s="126" t="s">
        <v>521</v>
      </c>
      <c r="G56" s="169" t="s">
        <v>522</v>
      </c>
      <c r="H56" s="135" t="str" cm="1">
        <f t="array" ref="H56">IF(LEFT(G56,6)=LEFT(G57,6),"",SUM(_xlfn._xlws.FILTER($M$3:$M$976,LEFT($G$3:$G$976,6)=LEFT(G56,6))))</f>
        <v/>
      </c>
      <c r="I56" s="161" t="s">
        <v>523</v>
      </c>
      <c r="J56" s="135" cm="1">
        <f t="array" ref="J56">IF(LEFT(I56,6)=LEFT(I57,6),"",SUM(_xlfn._xlws.FILTER($M$3:$M$976,LEFT($I$3:$I$976,6)=LEFT(I56,6))))</f>
        <v>287</v>
      </c>
      <c r="K56" s="135" t="s">
        <v>524</v>
      </c>
      <c r="L56" s="135" cm="1">
        <f t="array" ref="L56">IF(LEFT(K56,6)=LEFT(K57,6),"",SUM(_xlfn._xlws.FILTER($M$3:$M$976,LEFT($K$3:$K$976,6)=LEFT(K56,6))))</f>
        <v>104</v>
      </c>
      <c r="M56" s="126">
        <v>50</v>
      </c>
      <c r="N56" s="126" t="s">
        <v>331</v>
      </c>
      <c r="O56" s="126" t="s">
        <v>160</v>
      </c>
      <c r="P56" s="14"/>
      <c r="Q56" s="168" t="s">
        <v>525</v>
      </c>
      <c r="R56" s="14"/>
      <c r="S56" s="14"/>
      <c r="T56" s="14"/>
      <c r="U56" s="14"/>
      <c r="V56" s="14"/>
      <c r="W56" s="14"/>
    </row>
    <row r="57" spans="3:23">
      <c r="F57" s="126" t="s">
        <v>526</v>
      </c>
      <c r="G57" s="169" t="s">
        <v>527</v>
      </c>
      <c r="H57" s="135" t="str" cm="1">
        <f t="array" ref="H57">IF(LEFT(G57,6)=LEFT(G58,6),"",SUM(_xlfn._xlws.FILTER($M$3:$M$976,LEFT($G$3:$G$976,6)=LEFT(G57,6))))</f>
        <v/>
      </c>
      <c r="I57" s="154" t="s">
        <v>528</v>
      </c>
      <c r="J57" s="135" t="str" cm="1">
        <f t="array" ref="J57">IF(LEFT(I57,6)=LEFT(I58,6),"",SUM(_xlfn._xlws.FILTER($M$3:$M$976,LEFT($I$3:$I$976,6)=LEFT(I57,6))))</f>
        <v/>
      </c>
      <c r="K57" s="135" t="s">
        <v>529</v>
      </c>
      <c r="L57" s="135" t="str" cm="1">
        <f t="array" ref="L57">IF(LEFT(K57,6)=LEFT(K58,6),"",SUM(_xlfn._xlws.FILTER($M$3:$M$976,LEFT($K$3:$K$976,6)=LEFT(K57,6))))</f>
        <v/>
      </c>
      <c r="M57" s="126">
        <v>51</v>
      </c>
      <c r="N57" s="126" t="s">
        <v>331</v>
      </c>
      <c r="O57" s="126" t="s">
        <v>167</v>
      </c>
      <c r="P57" s="14"/>
      <c r="Q57" s="168"/>
      <c r="R57" s="14"/>
      <c r="S57" s="14"/>
      <c r="T57" s="14"/>
      <c r="U57" s="14"/>
      <c r="V57" s="14"/>
      <c r="W57" s="14"/>
    </row>
    <row r="58" spans="3:23">
      <c r="F58" s="126" t="s">
        <v>530</v>
      </c>
      <c r="G58" s="169" t="s">
        <v>531</v>
      </c>
      <c r="H58" s="135" t="str" cm="1">
        <f t="array" ref="H58">IF(LEFT(G58,6)=LEFT(G59,6),"",SUM(_xlfn._xlws.FILTER($M$3:$M$976,LEFT($G$3:$G$976,6)=LEFT(G58,6))))</f>
        <v/>
      </c>
      <c r="I58" s="154" t="s">
        <v>532</v>
      </c>
      <c r="J58" s="135" t="str" cm="1">
        <f t="array" ref="J58">IF(LEFT(I58,6)=LEFT(I59,6),"",SUM(_xlfn._xlws.FILTER($M$3:$M$976,LEFT($I$3:$I$976,6)=LEFT(I58,6))))</f>
        <v/>
      </c>
      <c r="K58" s="135" t="s">
        <v>533</v>
      </c>
      <c r="L58" s="135" t="str" cm="1">
        <f t="array" ref="L58">IF(LEFT(K58,6)=LEFT(K59,6),"",SUM(_xlfn._xlws.FILTER($M$3:$M$976,LEFT($K$3:$K$976,6)=LEFT(K58,6))))</f>
        <v/>
      </c>
      <c r="M58" s="126">
        <v>64</v>
      </c>
      <c r="N58" s="126" t="s">
        <v>331</v>
      </c>
      <c r="O58" s="126" t="s">
        <v>160</v>
      </c>
      <c r="P58" s="14"/>
      <c r="Q58" s="168"/>
      <c r="R58" s="14"/>
      <c r="S58" s="14"/>
      <c r="T58" s="14"/>
      <c r="U58" s="14"/>
      <c r="V58" s="14"/>
      <c r="W58" s="14"/>
    </row>
    <row r="59" spans="3:23">
      <c r="F59" s="126" t="s">
        <v>534</v>
      </c>
      <c r="G59" s="169" t="s">
        <v>535</v>
      </c>
      <c r="H59" s="135" t="str" cm="1">
        <f t="array" ref="H59">IF(LEFT(G59,6)=LEFT(G60,6),"",SUM(_xlfn._xlws.FILTER($M$3:$M$976,LEFT($G$3:$G$976,6)=LEFT(G59,6))))</f>
        <v/>
      </c>
      <c r="I59" s="154" t="s">
        <v>536</v>
      </c>
      <c r="J59" s="135" t="str" cm="1">
        <f t="array" ref="J59">IF(LEFT(I59,6)=LEFT(I60,6),"",SUM(_xlfn._xlws.FILTER($M$3:$M$976,LEFT($I$3:$I$976,6)=LEFT(I59,6))))</f>
        <v/>
      </c>
      <c r="K59" s="135" t="s">
        <v>537</v>
      </c>
      <c r="L59" s="135" t="str" cm="1">
        <f t="array" ref="L59">IF(LEFT(K59,6)=LEFT(K60,6),"",SUM(_xlfn._xlws.FILTER($M$3:$M$976,LEFT($K$3:$K$976,6)=LEFT(K59,6))))</f>
        <v/>
      </c>
      <c r="M59" s="126">
        <v>49</v>
      </c>
      <c r="N59" s="126" t="s">
        <v>331</v>
      </c>
      <c r="O59" s="126" t="s">
        <v>160</v>
      </c>
      <c r="P59" s="126"/>
      <c r="Q59" s="168"/>
      <c r="R59" s="14"/>
      <c r="S59" s="14"/>
      <c r="T59" s="14"/>
      <c r="U59" s="14"/>
      <c r="V59" s="14"/>
      <c r="W59" s="14"/>
    </row>
    <row r="60" spans="3:23">
      <c r="F60" s="126" t="s">
        <v>538</v>
      </c>
      <c r="G60" s="169" t="s">
        <v>539</v>
      </c>
      <c r="H60" s="135" t="str" cm="1">
        <f t="array" ref="H60">IF(LEFT(G60,6)=LEFT(G61,6),"",SUM(_xlfn._xlws.FILTER($M$3:$M$976,LEFT($G$3:$G$976,6)=LEFT(G60,6))))</f>
        <v/>
      </c>
      <c r="I60" s="154" t="s">
        <v>540</v>
      </c>
      <c r="J60" s="135" t="str" cm="1">
        <f t="array" ref="J60">IF(LEFT(I60,6)=LEFT(I61,6),"",SUM(_xlfn._xlws.FILTER($M$3:$M$976,LEFT($I$3:$I$976,6)=LEFT(I60,6))))</f>
        <v/>
      </c>
      <c r="K60" s="135" t="s">
        <v>541</v>
      </c>
      <c r="L60" s="135" cm="1">
        <f t="array" ref="L60">IF(LEFT(K60,6)=LEFT(K61,6),"",SUM(_xlfn._xlws.FILTER($M$3:$M$976,LEFT($K$3:$K$976,6)=LEFT(K60,6))))</f>
        <v>208</v>
      </c>
      <c r="M60" s="126">
        <v>44</v>
      </c>
      <c r="N60" s="126" t="s">
        <v>331</v>
      </c>
      <c r="O60" s="126" t="s">
        <v>163</v>
      </c>
      <c r="P60" s="126"/>
      <c r="Q60" s="168"/>
      <c r="R60" s="14"/>
      <c r="S60" s="14"/>
      <c r="T60" s="14"/>
      <c r="U60" s="14"/>
      <c r="V60" s="14"/>
      <c r="W60" s="14"/>
    </row>
    <row r="61" spans="3:23">
      <c r="F61" s="126" t="s">
        <v>542</v>
      </c>
      <c r="G61" s="169" t="s">
        <v>543</v>
      </c>
      <c r="H61" s="135" t="str" cm="1">
        <f t="array" ref="H61">IF(LEFT(G61,6)=LEFT(G62,6),"",SUM(_xlfn._xlws.FILTER($M$3:$M$976,LEFT($G$3:$G$976,6)=LEFT(G61,6))))</f>
        <v/>
      </c>
      <c r="I61" s="154" t="s">
        <v>544</v>
      </c>
      <c r="J61" s="135" t="str" cm="1">
        <f t="array" ref="J61">IF(LEFT(I61,6)=LEFT(I62,6),"",SUM(_xlfn._xlws.FILTER($M$3:$M$976,LEFT($I$3:$I$976,6)=LEFT(I61,6))))</f>
        <v/>
      </c>
      <c r="K61" s="135" t="s">
        <v>545</v>
      </c>
      <c r="L61" s="135" t="str" cm="1">
        <f t="array" ref="L61">IF(LEFT(K61,6)=LEFT(K62,6),"",SUM(_xlfn._xlws.FILTER($M$3:$M$976,LEFT($K$3:$K$976,6)=LEFT(K61,6))))</f>
        <v/>
      </c>
      <c r="M61" s="135">
        <v>36</v>
      </c>
      <c r="N61" s="126" t="s">
        <v>331</v>
      </c>
      <c r="O61" s="135" t="s">
        <v>163</v>
      </c>
      <c r="P61" s="126"/>
      <c r="Q61" s="168"/>
      <c r="R61" s="14"/>
      <c r="S61" s="14"/>
      <c r="T61" s="14"/>
      <c r="U61" s="14"/>
      <c r="V61" s="14"/>
      <c r="W61" s="14"/>
    </row>
    <row r="62" spans="3:23">
      <c r="F62" s="126" t="s">
        <v>546</v>
      </c>
      <c r="G62" s="169" t="s">
        <v>547</v>
      </c>
      <c r="H62" s="135" cm="1">
        <f t="array" ref="H62">IF(LEFT(G62,6)=LEFT(G63,6),"",SUM(_xlfn._xlws.FILTER($M$3:$M$976,LEFT($G$3:$G$976,6)=LEFT(G62,6))))</f>
        <v>922</v>
      </c>
      <c r="I62" s="154" t="s">
        <v>548</v>
      </c>
      <c r="J62" s="135" cm="1">
        <f t="array" ref="J62">IF(LEFT(I62,6)=LEFT(I63,6),"",SUM(_xlfn._xlws.FILTER($M$3:$M$976,LEFT($I$3:$I$976,6)=LEFT(I62,6))))</f>
        <v>295</v>
      </c>
      <c r="K62" s="135" t="s">
        <v>549</v>
      </c>
      <c r="L62" s="135" cm="1">
        <f t="array" ref="L62">IF(LEFT(K62,6)=LEFT(K63,6),"",SUM(_xlfn._xlws.FILTER($M$3:$M$976,LEFT($K$3:$K$976,6)=LEFT(K62,6))))</f>
        <v>87</v>
      </c>
      <c r="M62" s="135">
        <v>51</v>
      </c>
      <c r="N62" s="126" t="s">
        <v>331</v>
      </c>
      <c r="O62" s="135" t="s">
        <v>167</v>
      </c>
      <c r="P62" s="126"/>
      <c r="Q62" s="168" t="s">
        <v>410</v>
      </c>
      <c r="R62" s="14"/>
      <c r="S62" s="14"/>
      <c r="T62" s="14"/>
      <c r="U62" s="14"/>
      <c r="V62" s="14"/>
      <c r="W62" s="14"/>
    </row>
    <row r="63" spans="3:23">
      <c r="F63" s="126" t="s">
        <v>550</v>
      </c>
      <c r="G63" s="171" t="s">
        <v>551</v>
      </c>
      <c r="H63" s="135" t="str" cm="1">
        <f t="array" ref="H63">IF(LEFT(G63,6)=LEFT(G64,6),"",SUM(_xlfn._xlws.FILTER($M$3:$M$976,LEFT($G$3:$G$976,6)=LEFT(G63,6))))</f>
        <v/>
      </c>
      <c r="I63" s="163" t="s">
        <v>552</v>
      </c>
      <c r="J63" s="135" t="str" cm="1">
        <f t="array" ref="J63">IF(LEFT(I63,6)=LEFT(I64,6),"",SUM(_xlfn._xlws.FILTER($M$3:$M$976,LEFT($I$3:$I$976,6)=LEFT(I63,6))))</f>
        <v/>
      </c>
      <c r="K63" s="135" t="s">
        <v>553</v>
      </c>
      <c r="L63" s="135" t="str" cm="1">
        <f t="array" ref="L63">IF(LEFT(K63,6)=LEFT(K64,6),"",SUM(_xlfn._xlws.FILTER($M$3:$M$976,LEFT($K$3:$K$976,6)=LEFT(K63,6))))</f>
        <v/>
      </c>
      <c r="M63" s="126">
        <v>52</v>
      </c>
      <c r="N63" s="126" t="s">
        <v>331</v>
      </c>
      <c r="O63" s="135" t="s">
        <v>163</v>
      </c>
      <c r="P63" s="126" t="s">
        <v>303</v>
      </c>
      <c r="Q63" s="168"/>
      <c r="R63" s="14"/>
      <c r="S63" s="14"/>
      <c r="T63" s="14"/>
      <c r="U63" s="14"/>
      <c r="V63" s="14"/>
      <c r="W63" s="14"/>
    </row>
    <row r="64" spans="3:23">
      <c r="F64" s="126" t="s">
        <v>554</v>
      </c>
      <c r="G64" s="171" t="s">
        <v>555</v>
      </c>
      <c r="H64" s="135" t="str" cm="1">
        <f t="array" ref="H64">IF(LEFT(G64,6)=LEFT(G65,6),"",SUM(_xlfn._xlws.FILTER($M$3:$M$976,LEFT($G$3:$G$976,6)=LEFT(G64,6))))</f>
        <v/>
      </c>
      <c r="I64" s="163" t="s">
        <v>556</v>
      </c>
      <c r="J64" s="135" cm="1">
        <f t="array" ref="J64">IF(LEFT(I64,6)=LEFT(I65,6),"",SUM(_xlfn._xlws.FILTER($M$3:$M$976,LEFT($I$3:$I$976,6)=LEFT(I64,6))))</f>
        <v>312</v>
      </c>
      <c r="K64" s="135" t="s">
        <v>557</v>
      </c>
      <c r="L64" s="135" cm="1">
        <f t="array" ref="L64">IF(LEFT(K64,6)=LEFT(K65,6),"",SUM(_xlfn._xlws.FILTER($M$3:$M$976,LEFT($K$3:$K$976,6)=LEFT(K64,6))))</f>
        <v>145</v>
      </c>
      <c r="M64" s="126">
        <v>93</v>
      </c>
      <c r="N64" s="126" t="s">
        <v>331</v>
      </c>
      <c r="O64" s="135" t="s">
        <v>167</v>
      </c>
      <c r="P64" s="126" t="s">
        <v>303</v>
      </c>
      <c r="Q64" s="168"/>
      <c r="R64" s="14"/>
      <c r="S64" s="14"/>
      <c r="T64" s="14"/>
      <c r="U64" s="14"/>
      <c r="V64" s="14"/>
      <c r="W64" s="14"/>
    </row>
    <row r="65" spans="6:23">
      <c r="F65" s="126" t="s">
        <v>558</v>
      </c>
      <c r="G65" s="171" t="s">
        <v>559</v>
      </c>
      <c r="H65" s="135" t="str" cm="1">
        <f t="array" ref="H65">IF(LEFT(G65,6)=LEFT(G66,6),"",SUM(_xlfn._xlws.FILTER($M$3:$M$976,LEFT($G$3:$G$976,6)=LEFT(G65,6))))</f>
        <v/>
      </c>
      <c r="I65" s="166" t="s">
        <v>560</v>
      </c>
      <c r="J65" s="135" t="str" cm="1">
        <f t="array" ref="J65">IF(LEFT(I65,6)=LEFT(I66,6),"",SUM(_xlfn._xlws.FILTER($M$3:$M$976,LEFT($I$3:$I$976,6)=LEFT(I65,6))))</f>
        <v/>
      </c>
      <c r="K65" s="135" t="s">
        <v>561</v>
      </c>
      <c r="L65" s="135" t="str" cm="1">
        <f t="array" ref="L65">IF(LEFT(K65,6)=LEFT(K66,6),"",SUM(_xlfn._xlws.FILTER($M$3:$M$976,LEFT($K$3:$K$976,6)=LEFT(K65,6))))</f>
        <v/>
      </c>
      <c r="M65" s="135">
        <v>51</v>
      </c>
      <c r="N65" s="126" t="s">
        <v>331</v>
      </c>
      <c r="O65" s="135" t="s">
        <v>167</v>
      </c>
      <c r="P65" s="126"/>
      <c r="Q65" s="168"/>
      <c r="R65" s="14"/>
      <c r="S65" s="14"/>
      <c r="T65" s="14"/>
      <c r="U65" s="14"/>
      <c r="V65" s="14"/>
      <c r="W65" s="14"/>
    </row>
    <row r="66" spans="6:23">
      <c r="F66" s="126" t="s">
        <v>562</v>
      </c>
      <c r="G66" s="171" t="s">
        <v>563</v>
      </c>
      <c r="H66" s="135" t="str" cm="1">
        <f t="array" ref="H66">IF(LEFT(G66,6)=LEFT(G67,6),"",SUM(_xlfn._xlws.FILTER($M$3:$M$976,LEFT($G$3:$G$976,6)=LEFT(G66,6))))</f>
        <v/>
      </c>
      <c r="I66" s="166" t="s">
        <v>564</v>
      </c>
      <c r="J66" s="135" t="str" cm="1">
        <f t="array" ref="J66">IF(LEFT(I66,6)=LEFT(I67,6),"",SUM(_xlfn._xlws.FILTER($M$3:$M$976,LEFT($I$3:$I$976,6)=LEFT(I66,6))))</f>
        <v/>
      </c>
      <c r="K66" s="135" t="s">
        <v>565</v>
      </c>
      <c r="L66" s="135" t="str" cm="1">
        <f t="array" ref="L66">IF(LEFT(K66,6)=LEFT(K67,6),"",SUM(_xlfn._xlws.FILTER($M$3:$M$976,LEFT($K$3:$K$976,6)=LEFT(K66,6))))</f>
        <v/>
      </c>
      <c r="M66" s="135">
        <v>56</v>
      </c>
      <c r="N66" s="126" t="s">
        <v>331</v>
      </c>
      <c r="O66" s="135" t="s">
        <v>167</v>
      </c>
      <c r="P66" s="126"/>
      <c r="Q66" s="168"/>
      <c r="R66" s="14"/>
      <c r="S66" s="14"/>
      <c r="T66" s="14"/>
      <c r="U66" s="14"/>
      <c r="V66" s="14"/>
      <c r="W66" s="14"/>
    </row>
    <row r="67" spans="6:23">
      <c r="F67" s="126" t="s">
        <v>566</v>
      </c>
      <c r="G67" s="171" t="s">
        <v>567</v>
      </c>
      <c r="H67" s="135" t="str" cm="1">
        <f t="array" ref="H67">IF(LEFT(G67,6)=LEFT(G68,6),"",SUM(_xlfn._xlws.FILTER($M$3:$M$976,LEFT($G$3:$G$976,6)=LEFT(G67,6))))</f>
        <v/>
      </c>
      <c r="I67" s="166" t="s">
        <v>568</v>
      </c>
      <c r="J67" s="135" t="str" cm="1">
        <f t="array" ref="J67">IF(LEFT(I67,6)=LEFT(I68,6),"",SUM(_xlfn._xlws.FILTER($M$3:$M$976,LEFT($I$3:$I$976,6)=LEFT(I67,6))))</f>
        <v/>
      </c>
      <c r="K67" s="135" t="s">
        <v>569</v>
      </c>
      <c r="L67" s="135" cm="1">
        <f t="array" ref="L67">IF(LEFT(K67,6)=LEFT(K68,6),"",SUM(_xlfn._xlws.FILTER($M$3:$M$976,LEFT($K$3:$K$976,6)=LEFT(K67,6))))</f>
        <v>160</v>
      </c>
      <c r="M67" s="135">
        <v>53</v>
      </c>
      <c r="N67" s="126" t="s">
        <v>331</v>
      </c>
      <c r="O67" s="135" t="s">
        <v>160</v>
      </c>
      <c r="P67" s="126"/>
      <c r="Q67" s="168"/>
      <c r="R67" s="14"/>
      <c r="S67" s="14"/>
      <c r="T67" s="14"/>
      <c r="U67" s="14"/>
      <c r="V67" s="14"/>
      <c r="W67" s="14"/>
    </row>
    <row r="68" spans="6:23">
      <c r="F68" s="126" t="s">
        <v>570</v>
      </c>
      <c r="G68" s="171" t="s">
        <v>571</v>
      </c>
      <c r="H68" s="135" t="str" cm="1">
        <f t="array" ref="H68">IF(LEFT(G68,6)=LEFT(G69,6),"",SUM(_xlfn._xlws.FILTER($M$3:$M$976,LEFT($G$3:$G$976,6)=LEFT(G68,6))))</f>
        <v/>
      </c>
      <c r="I68" s="166" t="s">
        <v>572</v>
      </c>
      <c r="J68" s="135" t="str" cm="1">
        <f t="array" ref="J68">IF(LEFT(I68,6)=LEFT(I69,6),"",SUM(_xlfn._xlws.FILTER($M$3:$M$976,LEFT($I$3:$I$976,6)=LEFT(I68,6))))</f>
        <v/>
      </c>
      <c r="K68" s="135" t="s">
        <v>573</v>
      </c>
      <c r="L68" s="135" t="str" cm="1">
        <f t="array" ref="L68">IF(LEFT(K68,6)=LEFT(K69,6),"",SUM(_xlfn._xlws.FILTER($M$3:$M$976,LEFT($K$3:$K$976,6)=LEFT(K68,6))))</f>
        <v/>
      </c>
      <c r="M68" s="135">
        <v>44</v>
      </c>
      <c r="N68" s="126" t="s">
        <v>331</v>
      </c>
      <c r="O68" s="135" t="s">
        <v>160</v>
      </c>
      <c r="P68" s="126" t="s">
        <v>360</v>
      </c>
      <c r="Q68" s="168" t="s">
        <v>574</v>
      </c>
      <c r="R68" s="14"/>
      <c r="S68" s="14"/>
      <c r="T68" s="14"/>
      <c r="U68" s="14"/>
      <c r="V68" s="14"/>
      <c r="W68" s="14"/>
    </row>
    <row r="69" spans="6:23">
      <c r="F69" s="126" t="s">
        <v>575</v>
      </c>
      <c r="G69" s="171" t="s">
        <v>576</v>
      </c>
      <c r="H69" s="135" t="str" cm="1">
        <f t="array" ref="H69">IF(LEFT(G69,6)=LEFT(G70,6),"",SUM(_xlfn._xlws.FILTER($M$3:$M$976,LEFT($G$3:$G$976,6)=LEFT(G69,6))))</f>
        <v/>
      </c>
      <c r="I69" s="166" t="s">
        <v>577</v>
      </c>
      <c r="J69" s="135" t="str" cm="1">
        <f t="array" ref="J69">IF(LEFT(I69,6)=LEFT(I70,6),"",SUM(_xlfn._xlws.FILTER($M$3:$M$976,LEFT($I$3:$I$976,6)=LEFT(I69,6))))</f>
        <v/>
      </c>
      <c r="K69" s="135" t="s">
        <v>578</v>
      </c>
      <c r="L69" s="135" t="str" cm="1">
        <f t="array" ref="L69">IF(LEFT(K69,6)=LEFT(K70,6),"",SUM(_xlfn._xlws.FILTER($M$3:$M$976,LEFT($K$3:$K$976,6)=LEFT(K69,6))))</f>
        <v/>
      </c>
      <c r="M69" s="135">
        <v>44</v>
      </c>
      <c r="N69" s="126" t="s">
        <v>331</v>
      </c>
      <c r="O69" s="135" t="s">
        <v>163</v>
      </c>
      <c r="P69" s="126"/>
      <c r="Q69" s="168"/>
      <c r="R69" s="14"/>
      <c r="S69" s="14"/>
      <c r="T69" s="14"/>
      <c r="U69" s="14"/>
      <c r="V69" s="14"/>
      <c r="W69" s="14"/>
    </row>
    <row r="70" spans="6:23">
      <c r="F70" s="126" t="s">
        <v>579</v>
      </c>
      <c r="G70" s="171" t="s">
        <v>580</v>
      </c>
      <c r="H70" s="135" t="str" cm="1">
        <f t="array" ref="H70">IF(LEFT(G70,6)=LEFT(G71,6),"",SUM(_xlfn._xlws.FILTER($M$3:$M$976,LEFT($G$3:$G$976,6)=LEFT(G70,6))))</f>
        <v/>
      </c>
      <c r="I70" s="166" t="s">
        <v>581</v>
      </c>
      <c r="J70" s="135" cm="1">
        <f t="array" ref="J70">IF(LEFT(I70,6)=LEFT(I71,6),"",SUM(_xlfn._xlws.FILTER($M$3:$M$976,LEFT($I$3:$I$976,6)=LEFT(I70,6))))</f>
        <v>298</v>
      </c>
      <c r="K70" s="135" t="s">
        <v>582</v>
      </c>
      <c r="L70" s="135" cm="1">
        <f t="array" ref="L70">IF(LEFT(K70,6)=LEFT(K71,6),"",SUM(_xlfn._xlws.FILTER($M$3:$M$976,LEFT($K$3:$K$976,6)=LEFT(K70,6))))</f>
        <v>138</v>
      </c>
      <c r="M70" s="135">
        <v>50</v>
      </c>
      <c r="N70" s="126" t="s">
        <v>331</v>
      </c>
      <c r="O70" s="135" t="s">
        <v>160</v>
      </c>
      <c r="P70" s="126"/>
      <c r="Q70" s="168"/>
      <c r="R70" s="14"/>
      <c r="S70" s="14"/>
      <c r="T70" s="14"/>
      <c r="U70" s="14"/>
      <c r="V70" s="14"/>
      <c r="W70" s="14"/>
    </row>
    <row r="71" spans="6:23">
      <c r="F71" s="126" t="s">
        <v>583</v>
      </c>
      <c r="G71" s="171" t="s">
        <v>584</v>
      </c>
      <c r="H71" s="135" t="str" cm="1">
        <f t="array" ref="H71">IF(LEFT(G71,6)=LEFT(G72,6),"",SUM(_xlfn._xlws.FILTER($M$3:$M$976,LEFT($G$3:$G$976,6)=LEFT(G71,6))))</f>
        <v/>
      </c>
      <c r="I71" s="163" t="s">
        <v>585</v>
      </c>
      <c r="J71" s="135" t="str" cm="1">
        <f t="array" ref="J71">IF(LEFT(I71,6)=LEFT(I72,6),"",SUM(_xlfn._xlws.FILTER($M$3:$M$976,LEFT($I$3:$I$976,6)=LEFT(I71,6))))</f>
        <v/>
      </c>
      <c r="K71" s="135" t="s">
        <v>586</v>
      </c>
      <c r="L71" s="135" t="str" cm="1">
        <f t="array" ref="L71">IF(LEFT(K71,6)=LEFT(K72,6),"",SUM(_xlfn._xlws.FILTER($M$3:$M$976,LEFT($K$3:$K$976,6)=LEFT(K71,6))))</f>
        <v/>
      </c>
      <c r="M71" s="135">
        <v>54</v>
      </c>
      <c r="N71" s="126" t="s">
        <v>331</v>
      </c>
      <c r="O71" s="135" t="s">
        <v>167</v>
      </c>
      <c r="P71" s="126" t="s">
        <v>303</v>
      </c>
      <c r="Q71" s="168"/>
      <c r="R71" s="14"/>
      <c r="S71" s="14"/>
      <c r="T71" s="14"/>
      <c r="U71" s="14"/>
      <c r="V71" s="14"/>
      <c r="W71" s="14"/>
    </row>
    <row r="72" spans="6:23">
      <c r="F72" s="126" t="s">
        <v>587</v>
      </c>
      <c r="G72" s="171" t="s">
        <v>588</v>
      </c>
      <c r="H72" s="135" t="str" cm="1">
        <f t="array" ref="H72">IF(LEFT(G72,6)=LEFT(G73,6),"",SUM(_xlfn._xlws.FILTER($M$3:$M$976,LEFT($G$3:$G$976,6)=LEFT(G72,6))))</f>
        <v/>
      </c>
      <c r="I72" s="163" t="s">
        <v>589</v>
      </c>
      <c r="J72" s="135" t="str" cm="1">
        <f t="array" ref="J72">IF(LEFT(I72,6)=LEFT(I73,6),"",SUM(_xlfn._xlws.FILTER($M$3:$M$976,LEFT($I$3:$I$976,6)=LEFT(I72,6))))</f>
        <v/>
      </c>
      <c r="K72" s="135" t="s">
        <v>590</v>
      </c>
      <c r="L72" s="135" t="str" cm="1">
        <f t="array" ref="L72">IF(LEFT(K72,6)=LEFT(K73,6),"",SUM(_xlfn._xlws.FILTER($M$3:$M$976,LEFT($K$3:$K$976,6)=LEFT(K72,6))))</f>
        <v/>
      </c>
      <c r="M72" s="135">
        <v>54</v>
      </c>
      <c r="N72" s="126" t="s">
        <v>331</v>
      </c>
      <c r="O72" s="135" t="s">
        <v>171</v>
      </c>
      <c r="P72" s="126" t="s">
        <v>303</v>
      </c>
      <c r="Q72" s="168"/>
      <c r="R72" s="14"/>
      <c r="S72" s="14"/>
      <c r="T72" s="14"/>
      <c r="U72" s="14"/>
      <c r="V72" s="14"/>
      <c r="W72" s="14"/>
    </row>
    <row r="73" spans="6:23">
      <c r="F73" s="126" t="s">
        <v>591</v>
      </c>
      <c r="G73" s="171" t="s">
        <v>592</v>
      </c>
      <c r="H73" s="135" cm="1">
        <f t="array" ref="H73">IF(LEFT(G73,6)=LEFT(G74,6),"",SUM(_xlfn._xlws.FILTER($M$3:$M$976,LEFT($G$3:$G$976,6)=LEFT(G73,6))))</f>
        <v>610</v>
      </c>
      <c r="I73" s="163" t="s">
        <v>593</v>
      </c>
      <c r="J73" s="135" cm="1">
        <f t="array" ref="J73">IF(LEFT(I73,6)=LEFT(I74,6),"",SUM(_xlfn._xlws.FILTER($M$3:$M$976,LEFT($I$3:$I$976,6)=LEFT(I73,6))))</f>
        <v>312</v>
      </c>
      <c r="K73" s="135" t="s">
        <v>594</v>
      </c>
      <c r="L73" s="135" cm="1">
        <f t="array" ref="L73">IF(LEFT(K73,6)=LEFT(K74,6),"",SUM(_xlfn._xlws.FILTER($M$3:$M$976,LEFT($K$3:$K$976,6)=LEFT(K73,6))))</f>
        <v>167</v>
      </c>
      <c r="M73" s="135">
        <v>59</v>
      </c>
      <c r="N73" s="126" t="s">
        <v>331</v>
      </c>
      <c r="O73" s="135" t="s">
        <v>171</v>
      </c>
      <c r="P73" s="126" t="s">
        <v>595</v>
      </c>
      <c r="Q73" s="168" t="s">
        <v>410</v>
      </c>
      <c r="R73" s="135"/>
      <c r="S73" s="14"/>
      <c r="T73" s="14"/>
      <c r="U73" s="14"/>
      <c r="V73" s="14"/>
      <c r="W73" s="14"/>
    </row>
    <row r="74" spans="6:23">
      <c r="F74" s="126" t="s">
        <v>596</v>
      </c>
      <c r="G74" s="172" t="s">
        <v>597</v>
      </c>
      <c r="H74" s="135" t="str" cm="1">
        <f t="array" ref="H74">IF(LEFT(G74,6)=LEFT(G75,6),"",SUM(_xlfn._xlws.FILTER($M$3:$M$976,LEFT($G$3:$G$976,6)=LEFT(G74,6))))</f>
        <v/>
      </c>
      <c r="I74" s="173" t="s">
        <v>598</v>
      </c>
      <c r="J74" s="135" t="str" cm="1">
        <f t="array" ref="J74">IF(LEFT(I74,6)=LEFT(I75,6),"",SUM(_xlfn._xlws.FILTER($M$3:$M$976,LEFT($I$3:$I$976,6)=LEFT(I74,6))))</f>
        <v/>
      </c>
      <c r="K74" s="135" t="s">
        <v>599</v>
      </c>
      <c r="L74" s="135" t="str" cm="1">
        <f t="array" ref="L74">IF(LEFT(K74,6)=LEFT(K75,6),"",SUM(_xlfn._xlws.FILTER($M$3:$M$976,LEFT($K$3:$K$976,6)=LEFT(K74,6))))</f>
        <v/>
      </c>
      <c r="M74" s="135">
        <v>59</v>
      </c>
      <c r="N74" s="126" t="s">
        <v>331</v>
      </c>
      <c r="O74" s="135" t="s">
        <v>163</v>
      </c>
      <c r="P74" s="126" t="s">
        <v>303</v>
      </c>
      <c r="Q74" s="168"/>
      <c r="R74" s="135"/>
      <c r="S74" s="14"/>
      <c r="T74" s="14"/>
      <c r="U74" s="14"/>
      <c r="V74" s="14"/>
      <c r="W74" s="14"/>
    </row>
    <row r="75" spans="6:23">
      <c r="F75" s="126" t="s">
        <v>600</v>
      </c>
      <c r="G75" s="172" t="s">
        <v>601</v>
      </c>
      <c r="H75" s="135" t="str" cm="1">
        <f t="array" ref="H75">IF(LEFT(G75,6)=LEFT(G76,6),"",SUM(_xlfn._xlws.FILTER($M$3:$M$976,LEFT($G$3:$G$976,6)=LEFT(G75,6))))</f>
        <v/>
      </c>
      <c r="I75" s="173" t="s">
        <v>602</v>
      </c>
      <c r="J75" s="135" cm="1">
        <f t="array" ref="J75">IF(LEFT(I75,6)=LEFT(I76,6),"",SUM(_xlfn._xlws.FILTER($M$3:$M$976,LEFT($I$3:$I$976,6)=LEFT(I75,6))))</f>
        <v>114</v>
      </c>
      <c r="K75" s="135" t="s">
        <v>603</v>
      </c>
      <c r="L75" s="135" cm="1">
        <f t="array" ref="L75">IF(LEFT(K75,6)=LEFT(K76,6),"",SUM(_xlfn._xlws.FILTER($M$3:$M$976,LEFT($K$3:$K$976,6)=LEFT(K75,6))))</f>
        <v>114</v>
      </c>
      <c r="M75" s="135">
        <v>55</v>
      </c>
      <c r="N75" s="126" t="s">
        <v>331</v>
      </c>
      <c r="O75" s="135" t="s">
        <v>163</v>
      </c>
      <c r="P75" s="126" t="s">
        <v>595</v>
      </c>
      <c r="Q75" s="168"/>
      <c r="R75" s="135"/>
      <c r="S75" s="14"/>
      <c r="T75" s="14"/>
      <c r="U75" s="14"/>
      <c r="V75" s="14"/>
      <c r="W75" s="14"/>
    </row>
    <row r="76" spans="6:23">
      <c r="F76" s="126" t="s">
        <v>604</v>
      </c>
      <c r="G76" s="172" t="s">
        <v>605</v>
      </c>
      <c r="H76" s="135" t="str" cm="1">
        <f t="array" ref="H76">IF(LEFT(G76,6)=LEFT(G77,6),"",SUM(_xlfn._xlws.FILTER($M$3:$M$976,LEFT($G$3:$G$976,6)=LEFT(G76,6))))</f>
        <v/>
      </c>
      <c r="I76" s="160" t="s">
        <v>606</v>
      </c>
      <c r="J76" s="135" t="str" cm="1">
        <f t="array" ref="J76">IF(LEFT(I76,6)=LEFT(I77,6),"",SUM(_xlfn._xlws.FILTER($M$3:$M$976,LEFT($I$3:$I$976,6)=LEFT(I76,6))))</f>
        <v/>
      </c>
      <c r="K76" s="135" t="s">
        <v>607</v>
      </c>
      <c r="L76" s="135" t="str" cm="1">
        <f t="array" ref="L76">IF(LEFT(K76,6)=LEFT(K77,6),"",SUM(_xlfn._xlws.FILTER($M$3:$M$976,LEFT($K$3:$K$976,6)=LEFT(K76,6))))</f>
        <v/>
      </c>
      <c r="M76" s="135">
        <v>59</v>
      </c>
      <c r="N76" s="126" t="s">
        <v>331</v>
      </c>
      <c r="O76" s="135" t="s">
        <v>167</v>
      </c>
      <c r="P76" s="126" t="s">
        <v>360</v>
      </c>
      <c r="Q76" s="168"/>
      <c r="R76" s="135"/>
      <c r="S76" s="14"/>
      <c r="T76" s="14"/>
      <c r="U76" s="14"/>
      <c r="V76" s="14"/>
      <c r="W76" s="14"/>
    </row>
    <row r="77" spans="6:23">
      <c r="F77" s="126" t="s">
        <v>608</v>
      </c>
      <c r="G77" s="172" t="s">
        <v>609</v>
      </c>
      <c r="H77" s="135" t="str" cm="1">
        <f t="array" ref="H77">IF(LEFT(G77,6)=LEFT(G78,6),"",SUM(_xlfn._xlws.FILTER($M$3:$M$976,LEFT($G$3:$G$976,6)=LEFT(G77,6))))</f>
        <v/>
      </c>
      <c r="I77" s="160" t="s">
        <v>610</v>
      </c>
      <c r="J77" s="135" cm="1">
        <f t="array" ref="J77">IF(LEFT(I77,6)=LEFT(I78,6),"",SUM(_xlfn._xlws.FILTER($M$3:$M$976,LEFT($I$3:$I$976,6)=LEFT(I77,6))))</f>
        <v>115</v>
      </c>
      <c r="K77" s="135" t="s">
        <v>611</v>
      </c>
      <c r="L77" s="135" cm="1">
        <f t="array" ref="L77">IF(LEFT(K77,6)=LEFT(K78,6),"",SUM(_xlfn._xlws.FILTER($M$3:$M$976,LEFT($K$3:$K$976,6)=LEFT(K77,6))))</f>
        <v>115</v>
      </c>
      <c r="M77" s="135">
        <v>56</v>
      </c>
      <c r="N77" s="126" t="s">
        <v>331</v>
      </c>
      <c r="O77" s="135" t="s">
        <v>167</v>
      </c>
      <c r="P77" s="126" t="s">
        <v>595</v>
      </c>
      <c r="Q77" s="168"/>
      <c r="R77" s="135"/>
      <c r="S77" s="14"/>
      <c r="T77" s="14"/>
      <c r="U77" s="14"/>
      <c r="V77" s="14"/>
      <c r="W77" s="14"/>
    </row>
    <row r="78" spans="6:23">
      <c r="F78" s="126" t="s">
        <v>612</v>
      </c>
      <c r="G78" s="172" t="s">
        <v>613</v>
      </c>
      <c r="H78" s="135" t="str" cm="1">
        <f t="array" ref="H78">IF(LEFT(G78,6)=LEFT(G79,6),"",SUM(_xlfn._xlws.FILTER($M$3:$M$976,LEFT($G$3:$G$976,6)=LEFT(G78,6))))</f>
        <v/>
      </c>
      <c r="I78" s="154" t="s">
        <v>614</v>
      </c>
      <c r="J78" s="135" t="str" cm="1">
        <f t="array" ref="J78">IF(LEFT(I78,6)=LEFT(I79,6),"",SUM(_xlfn._xlws.FILTER($M$3:$M$976,LEFT($I$3:$I$976,6)=LEFT(I78,6))))</f>
        <v/>
      </c>
      <c r="K78" s="135" t="s">
        <v>615</v>
      </c>
      <c r="L78" s="135" t="str" cm="1">
        <f t="array" ref="L78">IF(LEFT(K78,6)=LEFT(K79,6),"",SUM(_xlfn._xlws.FILTER($M$3:$M$976,LEFT($K$3:$K$976,6)=LEFT(K78,6))))</f>
        <v/>
      </c>
      <c r="M78" s="135">
        <v>55</v>
      </c>
      <c r="N78" s="126" t="s">
        <v>331</v>
      </c>
      <c r="O78" s="135" t="s">
        <v>171</v>
      </c>
      <c r="P78" s="126" t="s">
        <v>303</v>
      </c>
      <c r="Q78" s="168"/>
      <c r="R78" s="14"/>
      <c r="S78" s="14"/>
      <c r="T78" s="14"/>
      <c r="U78" s="14"/>
      <c r="V78" s="14"/>
      <c r="W78" s="14"/>
    </row>
    <row r="79" spans="6:23">
      <c r="F79" s="126" t="s">
        <v>616</v>
      </c>
      <c r="G79" s="172" t="s">
        <v>617</v>
      </c>
      <c r="H79" s="135" t="str" cm="1">
        <f t="array" ref="H79">IF(LEFT(G79,6)=LEFT(G80,6),"",SUM(_xlfn._xlws.FILTER($M$3:$M$976,LEFT($G$3:$G$976,6)=LEFT(G79,6))))</f>
        <v/>
      </c>
      <c r="I79" s="154" t="s">
        <v>618</v>
      </c>
      <c r="J79" s="135" t="str" cm="1">
        <f t="array" ref="J79">IF(LEFT(I79,6)=LEFT(I80,6),"",SUM(_xlfn._xlws.FILTER($M$3:$M$976,LEFT($I$3:$I$976,6)=LEFT(I79,6))))</f>
        <v/>
      </c>
      <c r="K79" s="135" t="s">
        <v>619</v>
      </c>
      <c r="L79" s="135" cm="1">
        <f t="array" ref="L79">IF(LEFT(K79,6)=LEFT(K80,6),"",SUM(_xlfn._xlws.FILTER($M$3:$M$976,LEFT($K$3:$K$976,6)=LEFT(K79,6))))</f>
        <v>108</v>
      </c>
      <c r="M79" s="135">
        <v>53</v>
      </c>
      <c r="N79" s="126" t="s">
        <v>331</v>
      </c>
      <c r="O79" s="135" t="s">
        <v>163</v>
      </c>
      <c r="P79" s="126" t="s">
        <v>303</v>
      </c>
      <c r="Q79" s="168"/>
      <c r="R79" s="14"/>
      <c r="S79" s="14"/>
      <c r="T79" s="14"/>
      <c r="U79" s="14"/>
      <c r="V79" s="14"/>
      <c r="W79" s="14"/>
    </row>
    <row r="80" spans="6:23">
      <c r="F80" s="126" t="s">
        <v>620</v>
      </c>
      <c r="G80" s="172" t="s">
        <v>621</v>
      </c>
      <c r="H80" s="135" t="str" cm="1">
        <f t="array" ref="H80">IF(LEFT(G80,6)=LEFT(G81,6),"",SUM(_xlfn._xlws.FILTER($M$3:$M$976,LEFT($G$3:$G$976,6)=LEFT(G80,6))))</f>
        <v/>
      </c>
      <c r="I80" s="174" t="s">
        <v>622</v>
      </c>
      <c r="J80" s="135" t="str" cm="1">
        <f t="array" ref="J80">IF(LEFT(I80,6)=LEFT(I81,6),"",SUM(_xlfn._xlws.FILTER($M$3:$M$976,LEFT($I$3:$I$976,6)=LEFT(I80,6))))</f>
        <v/>
      </c>
      <c r="K80" s="135" t="s">
        <v>623</v>
      </c>
      <c r="L80" s="135" t="str" cm="1">
        <f t="array" ref="L80">IF(LEFT(K80,6)=LEFT(K81,6),"",SUM(_xlfn._xlws.FILTER($M$3:$M$976,LEFT($K$3:$K$976,6)=LEFT(K80,6))))</f>
        <v/>
      </c>
      <c r="M80" s="135">
        <v>60</v>
      </c>
      <c r="N80" s="126" t="s">
        <v>331</v>
      </c>
      <c r="O80" s="135" t="s">
        <v>163</v>
      </c>
      <c r="P80" s="126" t="s">
        <v>303</v>
      </c>
      <c r="Q80" s="168"/>
      <c r="R80" s="14"/>
      <c r="S80" s="14"/>
      <c r="T80" s="14"/>
      <c r="U80" s="14"/>
      <c r="V80" s="14"/>
      <c r="W80" s="14"/>
    </row>
    <row r="81" spans="6:23">
      <c r="F81" s="126" t="s">
        <v>624</v>
      </c>
      <c r="G81" s="172" t="s">
        <v>625</v>
      </c>
      <c r="H81" s="135" t="str" cm="1">
        <f t="array" ref="H81">IF(LEFT(G81,6)=LEFT(G82,6),"",SUM(_xlfn._xlws.FILTER($M$3:$M$976,LEFT($G$3:$G$976,6)=LEFT(G81,6))))</f>
        <v/>
      </c>
      <c r="I81" s="174" t="s">
        <v>626</v>
      </c>
      <c r="J81" s="135" t="str" cm="1">
        <f t="array" ref="J81">IF(LEFT(I81,6)=LEFT(I82,6),"",SUM(_xlfn._xlws.FILTER($M$3:$M$976,LEFT($I$3:$I$976,6)=LEFT(I81,6))))</f>
        <v/>
      </c>
      <c r="K81" s="135" t="s">
        <v>627</v>
      </c>
      <c r="L81" s="135" t="str" cm="1">
        <f t="array" ref="L81">IF(LEFT(K81,6)=LEFT(K82,6),"",SUM(_xlfn._xlws.FILTER($M$3:$M$976,LEFT($K$3:$K$976,6)=LEFT(K81,6))))</f>
        <v/>
      </c>
      <c r="M81" s="135">
        <v>48</v>
      </c>
      <c r="N81" s="126" t="s">
        <v>331</v>
      </c>
      <c r="O81" s="135" t="s">
        <v>167</v>
      </c>
      <c r="P81" s="126" t="s">
        <v>595</v>
      </c>
      <c r="Q81" s="168"/>
      <c r="R81" s="14"/>
      <c r="S81" s="14"/>
      <c r="T81" s="14"/>
      <c r="U81" s="14"/>
      <c r="V81" s="14"/>
      <c r="W81" s="14"/>
    </row>
    <row r="82" spans="6:23">
      <c r="F82" s="126" t="s">
        <v>628</v>
      </c>
      <c r="G82" s="172" t="s">
        <v>629</v>
      </c>
      <c r="H82" s="135" t="str" cm="1">
        <f t="array" ref="H82">IF(LEFT(G82,6)=LEFT(G83,6),"",SUM(_xlfn._xlws.FILTER($M$3:$M$976,LEFT($G$3:$G$976,6)=LEFT(G82,6))))</f>
        <v/>
      </c>
      <c r="I82" s="174" t="s">
        <v>630</v>
      </c>
      <c r="J82" s="135" cm="1">
        <f t="array" ref="J82">IF(LEFT(I82,6)=LEFT(I83,6),"",SUM(_xlfn._xlws.FILTER($M$3:$M$976,LEFT($I$3:$I$976,6)=LEFT(I82,6))))</f>
        <v>415</v>
      </c>
      <c r="K82" s="135" t="s">
        <v>631</v>
      </c>
      <c r="L82" s="135" cm="1">
        <f t="array" ref="L82">IF(LEFT(K82,6)=LEFT(K83,6),"",SUM(_xlfn._xlws.FILTER($M$3:$M$976,LEFT($K$3:$K$976,6)=LEFT(K82,6))))</f>
        <v>164</v>
      </c>
      <c r="M82" s="135">
        <v>56</v>
      </c>
      <c r="N82" s="126" t="s">
        <v>331</v>
      </c>
      <c r="O82" s="135" t="s">
        <v>167</v>
      </c>
      <c r="P82" s="126" t="s">
        <v>595</v>
      </c>
      <c r="Q82" s="168"/>
      <c r="R82" s="14"/>
      <c r="S82" s="14"/>
      <c r="T82" s="14"/>
      <c r="U82" s="14"/>
      <c r="V82" s="14"/>
      <c r="W82" s="14"/>
    </row>
    <row r="83" spans="6:23">
      <c r="F83" s="126" t="s">
        <v>632</v>
      </c>
      <c r="G83" s="172" t="s">
        <v>633</v>
      </c>
      <c r="H83" s="135" t="str" cm="1">
        <f t="array" ref="H83">IF(LEFT(G83,6)=LEFT(G84,6),"",SUM(_xlfn._xlws.FILTER($M$3:$M$976,LEFT($G$3:$G$976,6)=LEFT(G83,6))))</f>
        <v/>
      </c>
      <c r="I83" s="166" t="s">
        <v>634</v>
      </c>
      <c r="J83" s="135" t="str" cm="1">
        <f t="array" ref="J83">IF(LEFT(I83,6)=LEFT(I84,6),"",SUM(_xlfn._xlws.FILTER($M$3:$M$976,LEFT($I$3:$I$976,6)=LEFT(I83,6))))</f>
        <v/>
      </c>
      <c r="K83" s="135" t="s">
        <v>635</v>
      </c>
      <c r="L83" s="135" t="str" cm="1">
        <f t="array" ref="L83">IF(LEFT(K83,6)=LEFT(K84,6),"",SUM(_xlfn._xlws.FILTER($M$3:$M$976,LEFT($K$3:$K$976,6)=LEFT(K83,6))))</f>
        <v/>
      </c>
      <c r="M83" s="135">
        <v>52</v>
      </c>
      <c r="N83" s="135" t="s">
        <v>310</v>
      </c>
      <c r="O83" s="135" t="s">
        <v>171</v>
      </c>
      <c r="P83" s="126" t="s">
        <v>595</v>
      </c>
      <c r="Q83" s="168"/>
      <c r="R83" s="14"/>
      <c r="S83" s="14"/>
      <c r="T83" s="14"/>
      <c r="U83" s="14"/>
      <c r="V83" s="14"/>
      <c r="W83" s="14"/>
    </row>
    <row r="84" spans="6:23">
      <c r="F84" s="126" t="s">
        <v>636</v>
      </c>
      <c r="G84" s="172" t="s">
        <v>637</v>
      </c>
      <c r="H84" s="135" t="str" cm="1">
        <f t="array" ref="H84">IF(LEFT(G84,6)=LEFT(G85,6),"",SUM(_xlfn._xlws.FILTER($M$3:$M$976,LEFT($G$3:$G$976,6)=LEFT(G84,6))))</f>
        <v/>
      </c>
      <c r="I84" s="166" t="s">
        <v>638</v>
      </c>
      <c r="J84" s="135" t="str" cm="1">
        <f t="array" ref="J84">IF(LEFT(I84,6)=LEFT(I85,6),"",SUM(_xlfn._xlws.FILTER($M$3:$M$976,LEFT($I$3:$I$976,6)=LEFT(I84,6))))</f>
        <v/>
      </c>
      <c r="K84" s="135" t="s">
        <v>639</v>
      </c>
      <c r="L84" s="135" t="str" cm="1">
        <f t="array" ref="L84">IF(LEFT(K84,6)=LEFT(K85,6),"",SUM(_xlfn._xlws.FILTER($M$3:$M$976,LEFT($K$3:$K$976,6)=LEFT(K84,6))))</f>
        <v/>
      </c>
      <c r="M84" s="135">
        <v>61</v>
      </c>
      <c r="N84" s="135" t="s">
        <v>310</v>
      </c>
      <c r="O84" s="135" t="s">
        <v>171</v>
      </c>
      <c r="P84" s="126" t="s">
        <v>360</v>
      </c>
      <c r="Q84" s="168"/>
      <c r="R84" s="14"/>
      <c r="S84" s="14"/>
      <c r="T84" s="14"/>
      <c r="U84" s="14"/>
      <c r="V84" s="14"/>
      <c r="W84" s="14"/>
    </row>
    <row r="85" spans="6:23">
      <c r="F85" s="126" t="s">
        <v>640</v>
      </c>
      <c r="G85" s="135" t="s">
        <v>637</v>
      </c>
      <c r="H85" s="135" t="str" cm="1">
        <f t="array" ref="H85">IF(LEFT(G85,6)=LEFT(G86,6),"",SUM(_xlfn._xlws.FILTER($M$3:$M$976,LEFT($G$3:$G$976,6)=LEFT(G85,6))))</f>
        <v/>
      </c>
      <c r="I85" s="135" t="s">
        <v>638</v>
      </c>
      <c r="J85" s="135" t="str" cm="1">
        <f t="array" ref="J85">IF(LEFT(I85,6)=LEFT(I86,6),"",SUM(_xlfn._xlws.FILTER($M$3:$M$976,LEFT($I$3:$I$976,6)=LEFT(I85,6))))</f>
        <v/>
      </c>
      <c r="K85" s="135" t="s">
        <v>639</v>
      </c>
      <c r="L85" s="135" t="str" cm="1">
        <f t="array" ref="L85">IF(LEFT(K85,6)=LEFT(K86,6),"",SUM(_xlfn._xlws.FILTER($M$3:$M$976,LEFT($K$3:$K$976,6)=LEFT(K85,6))))</f>
        <v/>
      </c>
      <c r="M85" s="135" t="s">
        <v>106</v>
      </c>
      <c r="N85" s="135" t="s">
        <v>310</v>
      </c>
      <c r="O85" s="135" t="s">
        <v>163</v>
      </c>
      <c r="P85" s="126" t="s">
        <v>595</v>
      </c>
      <c r="Q85" s="168" t="s">
        <v>641</v>
      </c>
      <c r="R85" s="14"/>
      <c r="S85" s="14"/>
      <c r="T85" s="14"/>
      <c r="U85" s="14"/>
      <c r="V85" s="14"/>
      <c r="W85" s="14"/>
    </row>
    <row r="86" spans="6:23">
      <c r="F86" s="126" t="s">
        <v>642</v>
      </c>
      <c r="G86" s="172" t="s">
        <v>643</v>
      </c>
      <c r="H86" s="135" t="str" cm="1">
        <f t="array" ref="H86">IF(LEFT(G86,6)=LEFT(G87,6),"",SUM(_xlfn._xlws.FILTER($M$3:$M$976,LEFT($G$3:$G$976,6)=LEFT(G86,6))))</f>
        <v/>
      </c>
      <c r="I86" s="166" t="s">
        <v>644</v>
      </c>
      <c r="J86" s="135" cm="1">
        <f t="array" ref="J86">IF(LEFT(I86,6)=LEFT(I87,6),"",SUM(_xlfn._xlws.FILTER($M$3:$M$976,LEFT($I$3:$I$976,6)=LEFT(I86,6))))</f>
        <v>166</v>
      </c>
      <c r="K86" s="135" t="s">
        <v>645</v>
      </c>
      <c r="L86" s="135" cm="1">
        <f t="array" ref="L86">IF(LEFT(K86,6)=LEFT(K87,6),"",SUM(_xlfn._xlws.FILTER($M$3:$M$976,LEFT($K$3:$K$976,6)=LEFT(K86,6))))</f>
        <v>166</v>
      </c>
      <c r="M86" s="135">
        <v>53</v>
      </c>
      <c r="N86" s="135" t="s">
        <v>310</v>
      </c>
      <c r="O86" s="135" t="s">
        <v>160</v>
      </c>
      <c r="P86" s="126" t="s">
        <v>595</v>
      </c>
      <c r="Q86" s="168"/>
      <c r="R86" s="14"/>
      <c r="S86" s="14"/>
      <c r="T86" s="14"/>
      <c r="U86" s="14"/>
      <c r="V86" s="14"/>
      <c r="W86" s="14"/>
    </row>
    <row r="87" spans="6:23">
      <c r="F87" s="126" t="s">
        <v>646</v>
      </c>
      <c r="G87" s="172" t="s">
        <v>647</v>
      </c>
      <c r="H87" s="135" t="str" cm="1">
        <f t="array" ref="H87">IF(LEFT(G87,6)=LEFT(G88,6),"",SUM(_xlfn._xlws.FILTER($M$3:$M$976,LEFT($G$3:$G$976,6)=LEFT(G87,6))))</f>
        <v/>
      </c>
      <c r="I87" s="160" t="s">
        <v>648</v>
      </c>
      <c r="J87" s="135" t="str" cm="1">
        <f t="array" ref="J87">IF(LEFT(I87,6)=LEFT(I88,6),"",SUM(_xlfn._xlws.FILTER($M$3:$M$976,LEFT($I$3:$I$976,6)=LEFT(I87,6))))</f>
        <v/>
      </c>
      <c r="K87" s="135" t="s">
        <v>649</v>
      </c>
      <c r="L87" s="135" t="str" cm="1">
        <f t="array" ref="L87">IF(LEFT(K87,6)=LEFT(K88,6),"",SUM(_xlfn._xlws.FILTER($M$3:$M$976,LEFT($K$3:$K$976,6)=LEFT(K87,6))))</f>
        <v/>
      </c>
      <c r="M87" s="135">
        <v>45</v>
      </c>
      <c r="N87" s="135" t="s">
        <v>310</v>
      </c>
      <c r="O87" s="135" t="s">
        <v>160</v>
      </c>
      <c r="P87" s="126" t="s">
        <v>303</v>
      </c>
      <c r="Q87" s="168"/>
      <c r="R87" s="14"/>
      <c r="S87" s="14"/>
      <c r="T87" s="14"/>
      <c r="U87" s="14"/>
      <c r="V87" s="14"/>
      <c r="W87" s="14"/>
    </row>
    <row r="88" spans="6:23">
      <c r="F88" s="126" t="s">
        <v>650</v>
      </c>
      <c r="G88" s="172" t="s">
        <v>651</v>
      </c>
      <c r="H88" s="135" t="str" cm="1">
        <f t="array" ref="H88">IF(LEFT(G88,6)=LEFT(G89,6),"",SUM(_xlfn._xlws.FILTER($M$3:$M$976,LEFT($G$3:$G$976,6)=LEFT(G88,6))))</f>
        <v/>
      </c>
      <c r="I88" s="160" t="s">
        <v>652</v>
      </c>
      <c r="J88" s="135" t="str" cm="1">
        <f t="array" ref="J88">IF(LEFT(I88,6)=LEFT(I89,6),"",SUM(_xlfn._xlws.FILTER($M$3:$M$976,LEFT($I$3:$I$976,6)=LEFT(I88,6))))</f>
        <v/>
      </c>
      <c r="K88" s="135" t="s">
        <v>653</v>
      </c>
      <c r="L88" s="135" t="str" cm="1">
        <f t="array" ref="L88">IF(LEFT(K88,6)=LEFT(K89,6),"",SUM(_xlfn._xlws.FILTER($M$3:$M$976,LEFT($K$3:$K$976,6)=LEFT(K88,6))))</f>
        <v/>
      </c>
      <c r="M88" s="135">
        <v>47</v>
      </c>
      <c r="N88" s="135" t="s">
        <v>310</v>
      </c>
      <c r="O88" s="135" t="s">
        <v>163</v>
      </c>
      <c r="P88" s="126" t="s">
        <v>595</v>
      </c>
      <c r="Q88" s="168"/>
      <c r="R88" s="14"/>
      <c r="S88" s="14"/>
      <c r="T88" s="14"/>
      <c r="U88" s="14"/>
      <c r="V88" s="14"/>
      <c r="W88" s="14"/>
    </row>
    <row r="89" spans="6:23">
      <c r="F89" s="126" t="s">
        <v>654</v>
      </c>
      <c r="G89" s="172" t="s">
        <v>655</v>
      </c>
      <c r="H89" s="135" cm="1">
        <f t="array" ref="H89">IF(LEFT(G89,6)=LEFT(G90,6),"",SUM(_xlfn._xlws.FILTER($M$3:$M$976,LEFT($G$3:$G$976,6)=LEFT(G89,6))))</f>
        <v>805</v>
      </c>
      <c r="I89" s="160" t="s">
        <v>656</v>
      </c>
      <c r="J89" s="135" cm="1">
        <f t="array" ref="J89">IF(LEFT(I89,6)=LEFT(I90,6),"",SUM(_xlfn._xlws.FILTER($M$3:$M$976,LEFT($I$3:$I$976,6)=LEFT(I89,6))))</f>
        <v>415</v>
      </c>
      <c r="K89" s="135" t="s">
        <v>657</v>
      </c>
      <c r="L89" s="135" cm="1">
        <f t="array" ref="L89">IF(LEFT(K89,6)=LEFT(K90,6),"",SUM(_xlfn._xlws.FILTER($M$3:$M$976,LEFT($K$3:$K$976,6)=LEFT(K89,6))))</f>
        <v>138</v>
      </c>
      <c r="M89" s="135">
        <v>46</v>
      </c>
      <c r="N89" s="135" t="s">
        <v>310</v>
      </c>
      <c r="O89" s="135" t="s">
        <v>163</v>
      </c>
      <c r="P89" s="126" t="s">
        <v>595</v>
      </c>
      <c r="Q89" s="168"/>
      <c r="R89" s="14"/>
      <c r="S89" s="14"/>
      <c r="T89" s="14"/>
      <c r="U89" s="14"/>
      <c r="V89" s="14"/>
      <c r="W89" s="14"/>
    </row>
    <row r="90" spans="6:23">
      <c r="F90" s="126" t="s">
        <v>658</v>
      </c>
      <c r="G90" s="135" t="s">
        <v>659</v>
      </c>
      <c r="H90" s="135" t="str" cm="1">
        <f t="array" ref="H90">IF(LEFT(G90,6)=LEFT(G91,6),"",SUM(_xlfn._xlws.FILTER($M$3:$M$976,LEFT($G$3:$G$976,6)=LEFT(G90,6))))</f>
        <v/>
      </c>
      <c r="I90" s="135" t="s">
        <v>660</v>
      </c>
      <c r="J90" s="135" cm="1">
        <f t="array" ref="J90">IF(LEFT(I90,6)=LEFT(I91,6),"",SUM(_xlfn._xlws.FILTER($M$3:$M$976,LEFT($I$3:$I$976,6)=LEFT(I90,6))))</f>
        <v>0</v>
      </c>
      <c r="K90" s="135" t="s">
        <v>661</v>
      </c>
      <c r="L90" s="135" cm="1">
        <f t="array" ref="L90">IF(LEFT(K90,6)=LEFT(K91,6),"",SUM(_xlfn._xlws.FILTER($M$3:$M$976,LEFT($K$3:$K$976,6)=LEFT(K90,6))))</f>
        <v>0</v>
      </c>
      <c r="M90" s="135" t="s">
        <v>106</v>
      </c>
      <c r="N90" s="126" t="s">
        <v>331</v>
      </c>
      <c r="O90" s="135" t="s">
        <v>171</v>
      </c>
      <c r="P90" s="126" t="s">
        <v>595</v>
      </c>
      <c r="Q90" s="168" t="s">
        <v>662</v>
      </c>
      <c r="R90" s="14"/>
      <c r="S90" s="14"/>
      <c r="T90" s="14"/>
      <c r="U90" s="14"/>
      <c r="V90" s="14"/>
      <c r="W90" s="14"/>
    </row>
    <row r="91" spans="6:23">
      <c r="F91" s="126" t="s">
        <v>663</v>
      </c>
      <c r="G91" s="166" t="s">
        <v>664</v>
      </c>
      <c r="H91" s="135" t="str" cm="1">
        <f t="array" ref="H91">IF(LEFT(G91,6)=LEFT(G92,6),"",SUM(_xlfn._xlws.FILTER($M$3:$M$976,LEFT($G$3:$G$976,6)=LEFT(G91,6))))</f>
        <v/>
      </c>
      <c r="I91" s="163" t="s">
        <v>665</v>
      </c>
      <c r="J91" s="135" t="str" cm="1">
        <f t="array" ref="J91">IF(LEFT(I91,6)=LEFT(I92,6),"",SUM(_xlfn._xlws.FILTER($M$3:$M$976,LEFT($I$3:$I$976,6)=LEFT(I91,6))))</f>
        <v/>
      </c>
      <c r="K91" s="135" t="s">
        <v>666</v>
      </c>
      <c r="L91" s="135" t="str" cm="1">
        <f t="array" ref="L91">IF(LEFT(K91,6)=LEFT(K92,6),"",SUM(_xlfn._xlws.FILTER($M$3:$M$976,LEFT($K$3:$K$976,6)=LEFT(K91,6))))</f>
        <v/>
      </c>
      <c r="M91" s="135">
        <v>58</v>
      </c>
      <c r="N91" s="126" t="s">
        <v>331</v>
      </c>
      <c r="O91" s="135" t="s">
        <v>160</v>
      </c>
      <c r="P91" s="126"/>
      <c r="R91" s="168" t="s">
        <v>667</v>
      </c>
      <c r="S91" s="14"/>
      <c r="T91" s="14"/>
      <c r="U91" s="14"/>
      <c r="V91" s="14"/>
      <c r="W91" s="14"/>
    </row>
    <row r="92" spans="6:23">
      <c r="F92" s="126" t="s">
        <v>668</v>
      </c>
      <c r="G92" s="166" t="s">
        <v>669</v>
      </c>
      <c r="H92" s="135" t="str" cm="1">
        <f t="array" ref="H92">IF(LEFT(G92,6)=LEFT(G93,6),"",SUM(_xlfn._xlws.FILTER($M$3:$M$976,LEFT($G$3:$G$976,6)=LEFT(G92,6))))</f>
        <v/>
      </c>
      <c r="I92" s="163" t="s">
        <v>670</v>
      </c>
      <c r="J92" s="135" t="str" cm="1">
        <f t="array" ref="J92">IF(LEFT(I92,6)=LEFT(I93,6),"",SUM(_xlfn._xlws.FILTER($M$3:$M$976,LEFT($I$3:$I$976,6)=LEFT(I92,6))))</f>
        <v/>
      </c>
      <c r="K92" s="135" t="s">
        <v>671</v>
      </c>
      <c r="L92" s="135" t="str" cm="1">
        <f t="array" ref="L92">IF(LEFT(K92,6)=LEFT(K93,6),"",SUM(_xlfn._xlws.FILTER($M$3:$M$976,LEFT($K$3:$K$976,6)=LEFT(K92,6))))</f>
        <v/>
      </c>
      <c r="M92" s="135">
        <v>52</v>
      </c>
      <c r="N92" s="126" t="s">
        <v>331</v>
      </c>
      <c r="O92" s="135" t="s">
        <v>167</v>
      </c>
      <c r="P92" s="175"/>
      <c r="Q92" s="168"/>
      <c r="R92" s="14"/>
      <c r="S92" s="14"/>
      <c r="T92" s="14"/>
      <c r="U92" s="14"/>
      <c r="V92" s="14"/>
      <c r="W92" s="14"/>
    </row>
    <row r="93" spans="6:23">
      <c r="F93" s="126" t="s">
        <v>672</v>
      </c>
      <c r="G93" s="166" t="s">
        <v>673</v>
      </c>
      <c r="H93" s="135" t="str" cm="1">
        <f t="array" ref="H93">IF(LEFT(G93,6)=LEFT(G94,6),"",SUM(_xlfn._xlws.FILTER($M$3:$M$976,LEFT($G$3:$G$976,6)=LEFT(G93,6))))</f>
        <v/>
      </c>
      <c r="I93" s="163" t="s">
        <v>674</v>
      </c>
      <c r="J93" s="135" t="str" cm="1">
        <f t="array" ref="J93">IF(LEFT(I93,6)=LEFT(I94,6),"",SUM(_xlfn._xlws.FILTER($M$3:$M$976,LEFT($I$3:$I$976,6)=LEFT(I93,6))))</f>
        <v/>
      </c>
      <c r="K93" s="135" t="s">
        <v>675</v>
      </c>
      <c r="L93" s="135" t="str" cm="1">
        <f t="array" ref="L93">IF(LEFT(K93,6)=LEFT(K94,6),"",SUM(_xlfn._xlws.FILTER($M$3:$M$976,LEFT($K$3:$K$976,6)=LEFT(K93,6))))</f>
        <v/>
      </c>
      <c r="M93" s="135">
        <v>56</v>
      </c>
      <c r="N93" s="126" t="s">
        <v>331</v>
      </c>
      <c r="O93" s="135" t="s">
        <v>167</v>
      </c>
      <c r="P93" s="175"/>
      <c r="Q93" s="168"/>
      <c r="R93" s="14"/>
      <c r="S93" s="14"/>
      <c r="T93" s="14"/>
      <c r="U93" s="14"/>
      <c r="V93" s="14"/>
      <c r="W93" s="14"/>
    </row>
    <row r="94" spans="6:23">
      <c r="F94" s="126" t="s">
        <v>676</v>
      </c>
      <c r="G94" s="166" t="s">
        <v>677</v>
      </c>
      <c r="H94" s="135" t="str" cm="1">
        <f t="array" ref="H94">IF(LEFT(G94,6)=LEFT(G95,6),"",SUM(_xlfn._xlws.FILTER($M$3:$M$976,LEFT($G$3:$G$976,6)=LEFT(G94,6))))</f>
        <v/>
      </c>
      <c r="I94" s="163" t="s">
        <v>678</v>
      </c>
      <c r="J94" s="135" t="str" cm="1">
        <f t="array" ref="J94">IF(LEFT(I94,6)=LEFT(I95,6),"",SUM(_xlfn._xlws.FILTER($M$3:$M$976,LEFT($I$3:$I$976,6)=LEFT(I94,6))))</f>
        <v/>
      </c>
      <c r="K94" s="135" t="s">
        <v>679</v>
      </c>
      <c r="L94" s="135" t="str" cm="1">
        <f t="array" ref="L94">IF(LEFT(K94,6)=LEFT(K95,6),"",SUM(_xlfn._xlws.FILTER($M$3:$M$976,LEFT($K$3:$K$976,6)=LEFT(K94,6))))</f>
        <v/>
      </c>
      <c r="M94" s="135">
        <v>47</v>
      </c>
      <c r="N94" s="126" t="s">
        <v>331</v>
      </c>
      <c r="O94" s="135" t="s">
        <v>167</v>
      </c>
      <c r="P94" s="175"/>
      <c r="Q94" s="168"/>
      <c r="R94" s="14"/>
      <c r="S94" s="14"/>
      <c r="T94" s="14"/>
      <c r="U94" s="14"/>
      <c r="V94" s="14"/>
      <c r="W94" s="14"/>
    </row>
    <row r="95" spans="6:23">
      <c r="F95" s="126" t="s">
        <v>680</v>
      </c>
      <c r="G95" s="135" t="s">
        <v>681</v>
      </c>
      <c r="H95" s="135" t="str" cm="1">
        <f t="array" ref="H95">IF(LEFT(G95,6)=LEFT(G96,6),"",SUM(_xlfn._xlws.FILTER($M$3:$M$976,LEFT($G$3:$G$976,6)=LEFT(G95,6))))</f>
        <v/>
      </c>
      <c r="I95" s="163" t="s">
        <v>682</v>
      </c>
      <c r="J95" s="135" t="str" cm="1">
        <f t="array" ref="J95">IF(LEFT(I95,6)=LEFT(I96,6),"",SUM(_xlfn._xlws.FILTER($M$3:$M$976,LEFT($I$3:$I$976,6)=LEFT(I95,6))))</f>
        <v/>
      </c>
      <c r="K95" s="135" t="s">
        <v>683</v>
      </c>
      <c r="L95" s="135" t="str" cm="1">
        <f t="array" ref="L95">IF(LEFT(K95,6)=LEFT(K96,6),"",SUM(_xlfn._xlws.FILTER($M$3:$M$976,LEFT($K$3:$K$976,6)=LEFT(K95,6))))</f>
        <v/>
      </c>
      <c r="M95" s="135">
        <v>49</v>
      </c>
      <c r="N95" s="126" t="s">
        <v>331</v>
      </c>
      <c r="O95" s="135" t="s">
        <v>171</v>
      </c>
      <c r="P95" s="175"/>
      <c r="Q95" s="168"/>
      <c r="R95" s="14"/>
      <c r="S95" s="14"/>
      <c r="T95" s="14"/>
      <c r="U95" s="14"/>
      <c r="V95" s="14"/>
      <c r="W95" s="14"/>
    </row>
    <row r="96" spans="6:23">
      <c r="F96" s="126" t="s">
        <v>684</v>
      </c>
      <c r="G96" s="166" t="s">
        <v>685</v>
      </c>
      <c r="H96" s="135" t="str" cm="1">
        <f t="array" ref="H96">IF(LEFT(G96,6)=LEFT(G97,6),"",SUM(_xlfn._xlws.FILTER($M$3:$M$976,LEFT($G$3:$G$976,6)=LEFT(G96,6))))</f>
        <v/>
      </c>
      <c r="I96" s="163" t="s">
        <v>686</v>
      </c>
      <c r="J96" s="135" cm="1">
        <f t="array" ref="J96">IF(LEFT(I96,6)=LEFT(I97,6),"",SUM(_xlfn._xlws.FILTER($M$3:$M$976,LEFT($I$3:$I$976,6)=LEFT(I96,6))))</f>
        <v>318</v>
      </c>
      <c r="K96" s="135" t="s">
        <v>687</v>
      </c>
      <c r="L96" s="135" cm="1">
        <f t="array" ref="L96">IF(LEFT(K96,6)=LEFT(K97,6),"",SUM(_xlfn._xlws.FILTER($M$3:$M$976,LEFT($K$3:$K$976,6)=LEFT(K96,6))))</f>
        <v>318</v>
      </c>
      <c r="M96" s="135">
        <v>56</v>
      </c>
      <c r="N96" s="126" t="s">
        <v>331</v>
      </c>
      <c r="O96" s="135" t="s">
        <v>171</v>
      </c>
      <c r="P96" s="175"/>
      <c r="Q96" s="168"/>
      <c r="R96" s="14"/>
      <c r="S96" s="14"/>
      <c r="T96" s="14"/>
      <c r="U96" s="14"/>
      <c r="V96" s="14"/>
      <c r="W96" s="14"/>
    </row>
    <row r="97" spans="6:23">
      <c r="F97" s="126" t="s">
        <v>688</v>
      </c>
      <c r="G97" s="166" t="s">
        <v>689</v>
      </c>
      <c r="H97" s="135" cm="1">
        <f t="array" ref="H97">IF(LEFT(G97,6)=LEFT(G98,6),"",SUM(_xlfn._xlws.FILTER($M$3:$M$976,LEFT($G$3:$G$976,6)=LEFT(G97,6))))</f>
        <v>323</v>
      </c>
      <c r="I97" s="135" t="s">
        <v>690</v>
      </c>
      <c r="J97" s="135" cm="1">
        <f t="array" ref="J97">IF(LEFT(I97,6)=LEFT(I98,6),"",SUM(_xlfn._xlws.FILTER($M$3:$M$976,LEFT($I$3:$I$976,6)=LEFT(I97,6))))</f>
        <v>415</v>
      </c>
      <c r="K97" s="135" t="s">
        <v>691</v>
      </c>
      <c r="L97" s="135" cm="1">
        <f t="array" ref="L97">IF(LEFT(K97,6)=LEFT(K98,6),"",SUM(_xlfn._xlws.FILTER($M$3:$M$976,LEFT($K$3:$K$976,6)=LEFT(K97,6))))</f>
        <v>5</v>
      </c>
      <c r="M97" s="135">
        <v>5</v>
      </c>
      <c r="N97" s="126" t="s">
        <v>331</v>
      </c>
      <c r="O97" s="135" t="s">
        <v>160</v>
      </c>
      <c r="P97" s="126" t="s">
        <v>303</v>
      </c>
      <c r="Q97" s="168" t="s">
        <v>662</v>
      </c>
      <c r="R97" s="14"/>
      <c r="S97" s="14"/>
      <c r="T97" s="14"/>
      <c r="U97" s="14"/>
      <c r="V97" s="14"/>
      <c r="W97" s="14"/>
    </row>
    <row r="98" spans="6:23">
      <c r="F98" s="126" t="s">
        <v>692</v>
      </c>
      <c r="G98" s="176" t="s">
        <v>693</v>
      </c>
      <c r="H98" s="135" t="str" cm="1">
        <f t="array" ref="H98">IF(LEFT(G98,6)=LEFT(G99,6),"",SUM(_xlfn._xlws.FILTER($M$3:$M$976,LEFT($G$3:$G$976,6)=LEFT(G98,6))))</f>
        <v/>
      </c>
      <c r="I98" s="173" t="s">
        <v>694</v>
      </c>
      <c r="J98" s="135" t="str" cm="1">
        <f t="array" ref="J98">IF(LEFT(I98,6)=LEFT(I99,6),"",SUM(_xlfn._xlws.FILTER($M$3:$M$976,LEFT($I$3:$I$976,6)=LEFT(I98,6))))</f>
        <v/>
      </c>
      <c r="K98" s="135" t="s">
        <v>695</v>
      </c>
      <c r="L98" s="135" t="str" cm="1">
        <f t="array" ref="L98">IF(LEFT(K98,6)=LEFT(K99,6),"",SUM(_xlfn._xlws.FILTER($M$3:$M$976,LEFT($K$3:$K$976,6)=LEFT(K98,6))))</f>
        <v/>
      </c>
      <c r="M98" s="135">
        <v>58</v>
      </c>
      <c r="N98" s="126" t="s">
        <v>331</v>
      </c>
      <c r="O98" s="135" t="s">
        <v>160</v>
      </c>
      <c r="P98" s="126"/>
      <c r="Q98" s="168" t="s">
        <v>696</v>
      </c>
      <c r="R98" s="14"/>
      <c r="S98" s="14"/>
      <c r="T98" s="14"/>
      <c r="U98" s="14"/>
      <c r="V98" s="14"/>
      <c r="W98" s="14"/>
    </row>
    <row r="99" spans="6:23">
      <c r="F99" s="126" t="s">
        <v>697</v>
      </c>
      <c r="G99" s="176" t="s">
        <v>698</v>
      </c>
      <c r="H99" s="135" t="str" cm="1">
        <f t="array" ref="H99">IF(LEFT(G99,6)=LEFT(G100,6),"",SUM(_xlfn._xlws.FILTER($M$3:$M$976,LEFT($G$3:$G$976,6)=LEFT(G99,6))))</f>
        <v/>
      </c>
      <c r="I99" s="173" t="s">
        <v>699</v>
      </c>
      <c r="J99" s="135" t="str" cm="1">
        <f t="array" ref="J99">IF(LEFT(I99,6)=LEFT(I100,6),"",SUM(_xlfn._xlws.FILTER($M$3:$M$976,LEFT($I$3:$I$976,6)=LEFT(I99,6))))</f>
        <v/>
      </c>
      <c r="K99" s="135" t="s">
        <v>700</v>
      </c>
      <c r="L99" s="135" t="str" cm="1">
        <f t="array" ref="L99">IF(LEFT(K99,6)=LEFT(K100,6),"",SUM(_xlfn._xlws.FILTER($M$3:$M$976,LEFT($K$3:$K$976,6)=LEFT(K99,6))))</f>
        <v/>
      </c>
      <c r="M99" s="135">
        <v>49</v>
      </c>
      <c r="N99" s="126" t="s">
        <v>331</v>
      </c>
      <c r="O99" s="135" t="s">
        <v>167</v>
      </c>
      <c r="P99" s="126"/>
      <c r="Q99" s="168"/>
      <c r="R99" s="14"/>
      <c r="S99" s="14"/>
      <c r="T99" s="14"/>
      <c r="U99" s="14"/>
      <c r="V99" s="14"/>
      <c r="W99" s="14"/>
    </row>
    <row r="100" spans="6:23">
      <c r="F100" s="126" t="s">
        <v>701</v>
      </c>
      <c r="G100" s="176" t="s">
        <v>702</v>
      </c>
      <c r="H100" s="135" t="str" cm="1">
        <f t="array" ref="H100">IF(LEFT(G100,6)=LEFT(G101,6),"",SUM(_xlfn._xlws.FILTER($M$3:$M$976,LEFT($G$3:$G$976,6)=LEFT(G100,6))))</f>
        <v/>
      </c>
      <c r="I100" s="173" t="s">
        <v>703</v>
      </c>
      <c r="J100" s="135" t="str" cm="1">
        <f t="array" ref="J100">IF(LEFT(I100,6)=LEFT(I101,6),"",SUM(_xlfn._xlws.FILTER($M$3:$M$976,LEFT($I$3:$I$976,6)=LEFT(I100,6))))</f>
        <v/>
      </c>
      <c r="K100" s="135" t="s">
        <v>704</v>
      </c>
      <c r="L100" s="135" cm="1">
        <f t="array" ref="L100">IF(LEFT(K100,6)=LEFT(K101,6),"",SUM(_xlfn._xlws.FILTER($M$3:$M$976,LEFT($K$3:$K$976,6)=LEFT(K100,6))))</f>
        <v>155</v>
      </c>
      <c r="M100" s="135">
        <v>48</v>
      </c>
      <c r="N100" s="126" t="s">
        <v>331</v>
      </c>
      <c r="O100" s="135" t="s">
        <v>167</v>
      </c>
      <c r="P100" s="175"/>
      <c r="Q100" s="168"/>
      <c r="R100" s="14"/>
      <c r="S100" s="14"/>
      <c r="T100" s="14"/>
      <c r="U100" s="14"/>
      <c r="V100" s="14"/>
      <c r="W100" s="14"/>
    </row>
    <row r="101" spans="6:23">
      <c r="F101" s="126" t="s">
        <v>705</v>
      </c>
      <c r="G101" s="176" t="s">
        <v>706</v>
      </c>
      <c r="H101" s="135" t="str" cm="1">
        <f t="array" ref="H101">IF(LEFT(G101,6)=LEFT(G102,6),"",SUM(_xlfn._xlws.FILTER($M$3:$M$976,LEFT($G$3:$G$976,6)=LEFT(G101,6))))</f>
        <v/>
      </c>
      <c r="I101" s="173" t="s">
        <v>707</v>
      </c>
      <c r="J101" s="135" t="str" cm="1">
        <f t="array" ref="J101">IF(LEFT(I101,6)=LEFT(I102,6),"",SUM(_xlfn._xlws.FILTER($M$3:$M$976,LEFT($I$3:$I$976,6)=LEFT(I101,6))))</f>
        <v/>
      </c>
      <c r="K101" s="135" t="s">
        <v>708</v>
      </c>
      <c r="L101" s="135" t="str" cm="1">
        <f t="array" ref="L101">IF(LEFT(K101,6)=LEFT(K102,6),"",SUM(_xlfn._xlws.FILTER($M$3:$M$976,LEFT($K$3:$K$976,6)=LEFT(K101,6))))</f>
        <v/>
      </c>
      <c r="M101" s="135">
        <v>64</v>
      </c>
      <c r="N101" s="126" t="s">
        <v>331</v>
      </c>
      <c r="O101" s="135" t="s">
        <v>171</v>
      </c>
      <c r="P101" s="175"/>
      <c r="Q101" s="168"/>
      <c r="R101" s="14"/>
      <c r="S101" s="14"/>
      <c r="T101" s="14"/>
      <c r="U101" s="14"/>
      <c r="V101" s="14"/>
      <c r="W101" s="14"/>
    </row>
    <row r="102" spans="6:23">
      <c r="F102" s="126" t="s">
        <v>709</v>
      </c>
      <c r="G102" s="176" t="s">
        <v>710</v>
      </c>
      <c r="H102" s="135" t="str" cm="1">
        <f t="array" ref="H102">IF(LEFT(G102,6)=LEFT(G103,6),"",SUM(_xlfn._xlws.FILTER($M$3:$M$976,LEFT($G$3:$G$976,6)=LEFT(G102,6))))</f>
        <v/>
      </c>
      <c r="I102" s="173" t="s">
        <v>711</v>
      </c>
      <c r="J102" s="135" t="str" cm="1">
        <f t="array" ref="J102">IF(LEFT(I102,6)=LEFT(I103,6),"",SUM(_xlfn._xlws.FILTER($M$3:$M$976,LEFT($I$3:$I$976,6)=LEFT(I102,6))))</f>
        <v/>
      </c>
      <c r="K102" s="135" t="s">
        <v>712</v>
      </c>
      <c r="L102" s="135" t="str" cm="1">
        <f t="array" ref="L102">IF(LEFT(K102,6)=LEFT(K103,6),"",SUM(_xlfn._xlws.FILTER($M$3:$M$976,LEFT($K$3:$K$976,6)=LEFT(K102,6))))</f>
        <v/>
      </c>
      <c r="M102" s="135">
        <v>84</v>
      </c>
      <c r="N102" s="126" t="s">
        <v>331</v>
      </c>
      <c r="O102" s="135" t="s">
        <v>163</v>
      </c>
      <c r="P102" s="175"/>
      <c r="Q102" s="168"/>
      <c r="R102" s="14"/>
      <c r="S102" s="14"/>
      <c r="T102" s="14"/>
      <c r="U102" s="14"/>
      <c r="V102" s="14"/>
      <c r="W102" s="14"/>
    </row>
    <row r="103" spans="6:23">
      <c r="F103" s="126" t="s">
        <v>713</v>
      </c>
      <c r="G103" s="176" t="s">
        <v>714</v>
      </c>
      <c r="H103" s="135" t="str" cm="1">
        <f t="array" ref="H103">IF(LEFT(G103,6)=LEFT(G104,6),"",SUM(_xlfn._xlws.FILTER($M$3:$M$976,LEFT($G$3:$G$976,6)=LEFT(G103,6))))</f>
        <v/>
      </c>
      <c r="I103" s="173" t="s">
        <v>715</v>
      </c>
      <c r="J103" s="135" cm="1">
        <f t="array" ref="J103">IF(LEFT(I103,6)=LEFT(I104,6),"",SUM(_xlfn._xlws.FILTER($M$3:$M$976,LEFT($I$3:$I$976,6)=LEFT(I103,6))))</f>
        <v>356</v>
      </c>
      <c r="K103" s="135" t="s">
        <v>716</v>
      </c>
      <c r="L103" s="135" cm="1">
        <f t="array" ref="L103">IF(LEFT(K103,6)=LEFT(K104,6),"",SUM(_xlfn._xlws.FILTER($M$3:$M$976,LEFT($K$3:$K$976,6)=LEFT(K103,6))))</f>
        <v>201</v>
      </c>
      <c r="M103" s="135">
        <v>53</v>
      </c>
      <c r="N103" s="126" t="s">
        <v>331</v>
      </c>
      <c r="O103" s="135" t="s">
        <v>163</v>
      </c>
      <c r="P103" s="175"/>
      <c r="Q103" s="168"/>
      <c r="R103" s="14"/>
      <c r="S103" s="14"/>
      <c r="T103" s="14"/>
      <c r="U103" s="14"/>
      <c r="V103" s="14"/>
      <c r="W103" s="14"/>
    </row>
    <row r="104" spans="6:23">
      <c r="F104" s="126" t="s">
        <v>717</v>
      </c>
      <c r="G104" s="176" t="s">
        <v>718</v>
      </c>
      <c r="H104" s="135" t="str" cm="1">
        <f t="array" ref="H104">IF(LEFT(G104,6)=LEFT(G105,6),"",SUM(_xlfn._xlws.FILTER($M$3:$M$976,LEFT($G$3:$G$976,6)=LEFT(G104,6))))</f>
        <v/>
      </c>
      <c r="I104" s="166" t="s">
        <v>719</v>
      </c>
      <c r="J104" s="135" t="str" cm="1">
        <f t="array" ref="J104">IF(LEFT(I104,6)=LEFT(I105,6),"",SUM(_xlfn._xlws.FILTER($M$3:$M$976,LEFT($I$3:$I$976,6)=LEFT(I104,6))))</f>
        <v/>
      </c>
      <c r="K104" s="135" t="s">
        <v>720</v>
      </c>
      <c r="L104" s="135" t="str" cm="1">
        <f t="array" ref="L104">IF(LEFT(K104,6)=LEFT(K105,6),"",SUM(_xlfn._xlws.FILTER($M$3:$M$976,LEFT($K$3:$K$976,6)=LEFT(K104,6))))</f>
        <v/>
      </c>
      <c r="M104" s="135">
        <v>48</v>
      </c>
      <c r="N104" s="126" t="s">
        <v>331</v>
      </c>
      <c r="O104" s="135" t="s">
        <v>167</v>
      </c>
      <c r="P104" s="175"/>
      <c r="Q104" s="168"/>
      <c r="R104" s="14"/>
      <c r="S104" s="14"/>
      <c r="T104" s="14"/>
      <c r="U104" s="14"/>
      <c r="V104" s="14"/>
      <c r="W104" s="14"/>
    </row>
    <row r="105" spans="6:23">
      <c r="F105" s="126" t="s">
        <v>721</v>
      </c>
      <c r="G105" s="176" t="s">
        <v>722</v>
      </c>
      <c r="H105" s="135" t="str" cm="1">
        <f t="array" ref="H105">IF(LEFT(G105,6)=LEFT(G106,6),"",SUM(_xlfn._xlws.FILTER($M$3:$M$976,LEFT($G$3:$G$976,6)=LEFT(G105,6))))</f>
        <v/>
      </c>
      <c r="I105" s="166" t="s">
        <v>723</v>
      </c>
      <c r="J105" s="135" t="str" cm="1">
        <f t="array" ref="J105">IF(LEFT(I105,6)=LEFT(I106,6),"",SUM(_xlfn._xlws.FILTER($M$3:$M$976,LEFT($I$3:$I$976,6)=LEFT(I105,6))))</f>
        <v/>
      </c>
      <c r="K105" s="135" t="s">
        <v>724</v>
      </c>
      <c r="L105" s="135" t="str" cm="1">
        <f t="array" ref="L105">IF(LEFT(K105,6)=LEFT(K106,6),"",SUM(_xlfn._xlws.FILTER($M$3:$M$976,LEFT($K$3:$K$976,6)=LEFT(K105,6))))</f>
        <v/>
      </c>
      <c r="M105" s="135">
        <v>42</v>
      </c>
      <c r="N105" s="126" t="s">
        <v>331</v>
      </c>
      <c r="O105" s="135" t="s">
        <v>167</v>
      </c>
      <c r="P105" s="175"/>
      <c r="Q105" s="168"/>
      <c r="R105" s="14"/>
      <c r="S105" s="14"/>
      <c r="T105" s="14"/>
      <c r="U105" s="14"/>
      <c r="V105" s="14"/>
      <c r="W105" s="14"/>
    </row>
    <row r="106" spans="6:23">
      <c r="F106" s="126" t="s">
        <v>725</v>
      </c>
      <c r="G106" s="176" t="s">
        <v>726</v>
      </c>
      <c r="H106" s="135" t="str" cm="1">
        <f t="array" ref="H106">IF(LEFT(G106,6)=LEFT(G107,6),"",SUM(_xlfn._xlws.FILTER($M$3:$M$976,LEFT($G$3:$G$976,6)=LEFT(G106,6))))</f>
        <v/>
      </c>
      <c r="I106" s="166" t="s">
        <v>727</v>
      </c>
      <c r="J106" s="135" t="str" cm="1">
        <f t="array" ref="J106">IF(LEFT(I106,6)=LEFT(I107,6),"",SUM(_xlfn._xlws.FILTER($M$3:$M$976,LEFT($I$3:$I$976,6)=LEFT(I106,6))))</f>
        <v/>
      </c>
      <c r="K106" s="135" t="s">
        <v>728</v>
      </c>
      <c r="L106" s="135" t="str" cm="1">
        <f t="array" ref="L106">IF(LEFT(K106,6)=LEFT(K107,6),"",SUM(_xlfn._xlws.FILTER($M$3:$M$976,LEFT($K$3:$K$976,6)=LEFT(K106,6))))</f>
        <v/>
      </c>
      <c r="M106" s="135">
        <v>49</v>
      </c>
      <c r="N106" s="126" t="s">
        <v>331</v>
      </c>
      <c r="O106" s="135" t="s">
        <v>160</v>
      </c>
      <c r="P106" s="175"/>
      <c r="Q106" s="168"/>
      <c r="R106" s="14"/>
      <c r="S106" s="14"/>
      <c r="T106" s="14"/>
      <c r="U106" s="14"/>
      <c r="V106" s="14"/>
      <c r="W106" s="14"/>
    </row>
    <row r="107" spans="6:23">
      <c r="F107" s="126" t="s">
        <v>729</v>
      </c>
      <c r="G107" s="177" t="s">
        <v>730</v>
      </c>
      <c r="H107" s="178" t="str" cm="1">
        <f t="array" ref="H107">IF(LEFT(G107,6)=LEFT(G108,6),"",SUM(_xlfn._xlws.FILTER($M$3:$M$976,LEFT($G$3:$G$976,6)=LEFT(G107,6))))</f>
        <v/>
      </c>
      <c r="I107" s="179" t="s">
        <v>731</v>
      </c>
      <c r="J107" s="178" cm="1">
        <f t="array" ref="J107">IF(LEFT(I107,6)=LEFT(I108,6),"",SUM(_xlfn._xlws.FILTER($M$3:$M$976,LEFT($I$3:$I$976,6)=LEFT(I107,6))))</f>
        <v>193</v>
      </c>
      <c r="K107" s="178" t="s">
        <v>732</v>
      </c>
      <c r="L107" s="178" cm="1">
        <f t="array" ref="L107">IF(LEFT(K107,6)=LEFT(K108,6),"",SUM(_xlfn._xlws.FILTER($M$3:$M$976,LEFT($K$3:$K$976,6)=LEFT(K107,6))))</f>
        <v>193</v>
      </c>
      <c r="M107" s="180">
        <v>54</v>
      </c>
      <c r="N107" s="126" t="s">
        <v>331</v>
      </c>
      <c r="O107" s="135" t="s">
        <v>160</v>
      </c>
      <c r="P107" s="175"/>
      <c r="Q107" s="168"/>
      <c r="R107" s="14"/>
      <c r="S107" s="14"/>
      <c r="T107" s="14"/>
      <c r="U107" s="14"/>
      <c r="V107" s="14"/>
      <c r="W107" s="14"/>
    </row>
    <row r="108" spans="6:23">
      <c r="F108" s="126" t="s">
        <v>733</v>
      </c>
      <c r="G108" s="176" t="s">
        <v>734</v>
      </c>
      <c r="H108" s="135" t="str" cm="1">
        <f t="array" ref="H108">IF(LEFT(G108,6)=LEFT(G109,6),"",SUM(_xlfn._xlws.FILTER($M$3:$M$976,LEFT($G$3:$G$976,6)=LEFT(G108,6))))</f>
        <v/>
      </c>
      <c r="I108" s="161" t="s">
        <v>735</v>
      </c>
      <c r="J108" s="135" t="str" cm="1">
        <f t="array" ref="J108">IF(LEFT(I108,6)=LEFT(I109,6),"",SUM(_xlfn._xlws.FILTER($M$3:$M$976,LEFT($I$3:$I$976,6)=LEFT(I108,6))))</f>
        <v/>
      </c>
      <c r="K108" s="135" t="s">
        <v>736</v>
      </c>
      <c r="L108" s="135" t="str" cm="1">
        <f t="array" ref="L108">IF(LEFT(K108,6)=LEFT(K109,6),"",SUM(_xlfn._xlws.FILTER($M$3:$M$976,LEFT($K$3:$K$976,6)=LEFT(K108,6))))</f>
        <v/>
      </c>
      <c r="M108" s="135">
        <v>55</v>
      </c>
      <c r="N108" s="135" t="s">
        <v>310</v>
      </c>
      <c r="O108" s="135" t="s">
        <v>171</v>
      </c>
      <c r="P108" s="126" t="s">
        <v>303</v>
      </c>
      <c r="Q108" s="168"/>
      <c r="R108" s="14"/>
      <c r="S108" s="14"/>
      <c r="T108" s="14"/>
      <c r="U108" s="14"/>
      <c r="V108" s="14"/>
      <c r="W108" s="14"/>
    </row>
    <row r="109" spans="6:23">
      <c r="F109" s="126" t="s">
        <v>737</v>
      </c>
      <c r="G109" s="176" t="s">
        <v>738</v>
      </c>
      <c r="H109" s="135" t="str" cm="1">
        <f t="array" ref="H109">IF(LEFT(G109,6)=LEFT(G110,6),"",SUM(_xlfn._xlws.FILTER($M$3:$M$976,LEFT($G$3:$G$976,6)=LEFT(G109,6))))</f>
        <v/>
      </c>
      <c r="I109" s="161" t="s">
        <v>739</v>
      </c>
      <c r="J109" s="135" t="str" cm="1">
        <f t="array" ref="J109">IF(LEFT(I109,6)=LEFT(I110,6),"",SUM(_xlfn._xlws.FILTER($M$3:$M$976,LEFT($I$3:$I$976,6)=LEFT(I109,6))))</f>
        <v/>
      </c>
      <c r="K109" s="135" t="s">
        <v>740</v>
      </c>
      <c r="L109" s="135" t="str" cm="1">
        <f t="array" ref="L109">IF(LEFT(K109,6)=LEFT(K110,6),"",SUM(_xlfn._xlws.FILTER($M$3:$M$976,LEFT($K$3:$K$976,6)=LEFT(K109,6))))</f>
        <v/>
      </c>
      <c r="M109" s="135">
        <v>46</v>
      </c>
      <c r="N109" s="135" t="s">
        <v>310</v>
      </c>
      <c r="O109" s="135" t="s">
        <v>160</v>
      </c>
      <c r="P109" s="126" t="s">
        <v>303</v>
      </c>
      <c r="Q109" s="168"/>
      <c r="R109" s="14"/>
      <c r="S109" s="14"/>
      <c r="T109" s="14"/>
      <c r="U109" s="14"/>
      <c r="V109" s="14"/>
      <c r="W109" s="14"/>
    </row>
    <row r="110" spans="6:23">
      <c r="F110" s="126" t="s">
        <v>741</v>
      </c>
      <c r="G110" s="176" t="s">
        <v>742</v>
      </c>
      <c r="H110" s="135" t="str" cm="1">
        <f t="array" ref="H110">IF(LEFT(G110,6)=LEFT(G111,6),"",SUM(_xlfn._xlws.FILTER($M$3:$M$976,LEFT($G$3:$G$976,6)=LEFT(G110,6))))</f>
        <v/>
      </c>
      <c r="I110" s="161" t="s">
        <v>743</v>
      </c>
      <c r="J110" s="135" cm="1">
        <f t="array" ref="J110">IF(LEFT(I110,6)=LEFT(I111,6),"",SUM(_xlfn._xlws.FILTER($M$3:$M$976,LEFT($I$3:$I$976,6)=LEFT(I110,6))))</f>
        <v>149</v>
      </c>
      <c r="K110" s="135" t="s">
        <v>744</v>
      </c>
      <c r="L110" s="135" cm="1">
        <f t="array" ref="L110">IF(LEFT(K110,6)=LEFT(K111,6),"",SUM(_xlfn._xlws.FILTER($M$3:$M$976,LEFT($K$3:$K$976,6)=LEFT(K110,6))))</f>
        <v>149</v>
      </c>
      <c r="M110" s="135">
        <v>48</v>
      </c>
      <c r="N110" s="135" t="s">
        <v>310</v>
      </c>
      <c r="O110" s="135" t="s">
        <v>160</v>
      </c>
      <c r="P110" s="126" t="s">
        <v>303</v>
      </c>
      <c r="Q110" s="168" t="s">
        <v>745</v>
      </c>
      <c r="R110" s="14"/>
      <c r="S110" s="14"/>
      <c r="T110" s="14"/>
      <c r="U110" s="14"/>
      <c r="V110" s="14"/>
      <c r="W110" s="14"/>
    </row>
    <row r="111" spans="6:23">
      <c r="F111" s="126" t="s">
        <v>746</v>
      </c>
      <c r="G111" s="176" t="s">
        <v>747</v>
      </c>
      <c r="H111" s="135" t="str" cm="1">
        <f t="array" ref="H111">IF(LEFT(G111,6)=LEFT(G112,6),"",SUM(_xlfn._xlws.FILTER($M$3:$M$976,LEFT($G$3:$G$976,6)=LEFT(G111,6))))</f>
        <v/>
      </c>
      <c r="I111" s="154" t="s">
        <v>748</v>
      </c>
      <c r="J111" s="135" t="str" cm="1">
        <f t="array" ref="J111">IF(LEFT(I111,6)=LEFT(I112,6),"",SUM(_xlfn._xlws.FILTER($M$3:$M$976,LEFT($I$3:$I$976,6)=LEFT(I111,6))))</f>
        <v/>
      </c>
      <c r="K111" s="135" t="s">
        <v>749</v>
      </c>
      <c r="L111" s="135" t="str" cm="1">
        <f t="array" ref="L111">IF(LEFT(K111,6)=LEFT(K112,6),"",SUM(_xlfn._xlws.FILTER($M$3:$M$976,LEFT($K$3:$K$976,6)=LEFT(K111,6))))</f>
        <v/>
      </c>
      <c r="M111" s="135">
        <v>45</v>
      </c>
      <c r="N111" s="135" t="s">
        <v>310</v>
      </c>
      <c r="O111" s="135" t="s">
        <v>171</v>
      </c>
      <c r="P111" s="126"/>
      <c r="Q111" s="168"/>
      <c r="R111" s="14"/>
      <c r="S111" s="14"/>
      <c r="T111" s="14"/>
      <c r="U111" s="14"/>
      <c r="V111" s="14"/>
      <c r="W111" s="14"/>
    </row>
    <row r="112" spans="6:23">
      <c r="F112" s="126" t="s">
        <v>750</v>
      </c>
      <c r="G112" s="176" t="s">
        <v>751</v>
      </c>
      <c r="H112" s="135" t="str" cm="1">
        <f t="array" ref="H112">IF(LEFT(G112,6)=LEFT(G113,6),"",SUM(_xlfn._xlws.FILTER($M$3:$M$976,LEFT($G$3:$G$976,6)=LEFT(G112,6))))</f>
        <v/>
      </c>
      <c r="I112" s="154" t="s">
        <v>752</v>
      </c>
      <c r="J112" s="135" t="str" cm="1">
        <f t="array" ref="J112">IF(LEFT(I112,6)=LEFT(I113,6),"",SUM(_xlfn._xlws.FILTER($M$3:$M$976,LEFT($I$3:$I$976,6)=LEFT(I112,6))))</f>
        <v/>
      </c>
      <c r="K112" s="135" t="s">
        <v>753</v>
      </c>
      <c r="L112" s="135" t="str" cm="1">
        <f t="array" ref="L112">IF(LEFT(K112,6)=LEFT(K113,6),"",SUM(_xlfn._xlws.FILTER($M$3:$M$976,LEFT($K$3:$K$976,6)=LEFT(K112,6))))</f>
        <v/>
      </c>
      <c r="M112" s="135">
        <v>49</v>
      </c>
      <c r="N112" s="135" t="s">
        <v>310</v>
      </c>
      <c r="O112" s="135" t="s">
        <v>171</v>
      </c>
      <c r="P112" s="126"/>
      <c r="Q112" s="168"/>
      <c r="R112" s="14"/>
      <c r="S112" s="14"/>
      <c r="T112" s="14"/>
      <c r="U112" s="14"/>
      <c r="V112" s="14"/>
      <c r="W112" s="14"/>
    </row>
    <row r="113" spans="6:23">
      <c r="F113" s="126" t="s">
        <v>754</v>
      </c>
      <c r="G113" s="176" t="s">
        <v>755</v>
      </c>
      <c r="H113" s="135" t="str" cm="1">
        <f t="array" ref="H113">IF(LEFT(G113,6)=LEFT(G114,6),"",SUM(_xlfn._xlws.FILTER($M$3:$M$976,LEFT($G$3:$G$976,6)=LEFT(G113,6))))</f>
        <v/>
      </c>
      <c r="I113" s="154" t="s">
        <v>756</v>
      </c>
      <c r="J113" s="135" t="str" cm="1">
        <f t="array" ref="J113">IF(LEFT(I113,6)=LEFT(I114,6),"",SUM(_xlfn._xlws.FILTER($M$3:$M$976,LEFT($I$3:$I$976,6)=LEFT(I113,6))))</f>
        <v/>
      </c>
      <c r="K113" s="135" t="s">
        <v>757</v>
      </c>
      <c r="L113" s="135" t="str" cm="1">
        <f t="array" ref="L113">IF(LEFT(K113,6)=LEFT(K114,6),"",SUM(_xlfn._xlws.FILTER($M$3:$M$976,LEFT($K$3:$K$976,6)=LEFT(K113,6))))</f>
        <v/>
      </c>
      <c r="M113" s="135">
        <v>51</v>
      </c>
      <c r="N113" s="135" t="s">
        <v>310</v>
      </c>
      <c r="O113" s="135" t="s">
        <v>171</v>
      </c>
      <c r="P113" s="126"/>
      <c r="Q113" s="168"/>
      <c r="R113" s="14"/>
      <c r="S113" s="14"/>
      <c r="T113" s="14"/>
      <c r="U113" s="14"/>
      <c r="V113" s="14"/>
      <c r="W113" s="14"/>
    </row>
    <row r="114" spans="6:23">
      <c r="F114" s="126" t="s">
        <v>758</v>
      </c>
      <c r="G114" s="176" t="s">
        <v>759</v>
      </c>
      <c r="H114" s="135" t="str" cm="1">
        <f t="array" ref="H114">IF(LEFT(G114,6)=LEFT(G115,6),"",SUM(_xlfn._xlws.FILTER($M$3:$M$976,LEFT($G$3:$G$976,6)=LEFT(G114,6))))</f>
        <v/>
      </c>
      <c r="I114" s="154" t="s">
        <v>760</v>
      </c>
      <c r="J114" s="135" t="str" cm="1">
        <f t="array" ref="J114">IF(LEFT(I114,6)=LEFT(I115,6),"",SUM(_xlfn._xlws.FILTER($M$3:$M$976,LEFT($I$3:$I$976,6)=LEFT(I114,6))))</f>
        <v/>
      </c>
      <c r="K114" s="135" t="s">
        <v>761</v>
      </c>
      <c r="L114" s="135" t="str" cm="1">
        <f t="array" ref="L114">IF(LEFT(K114,6)=LEFT(K115,6),"",SUM(_xlfn._xlws.FILTER($M$3:$M$976,LEFT($K$3:$K$976,6)=LEFT(K114,6))))</f>
        <v/>
      </c>
      <c r="M114" s="135">
        <v>63</v>
      </c>
      <c r="N114" s="135" t="s">
        <v>310</v>
      </c>
      <c r="O114" s="135" t="s">
        <v>163</v>
      </c>
      <c r="P114" s="126"/>
      <c r="Q114" s="168"/>
      <c r="R114" s="14"/>
      <c r="S114" s="14"/>
      <c r="T114" s="14"/>
      <c r="U114" s="14"/>
      <c r="V114" s="14"/>
      <c r="W114" s="14"/>
    </row>
    <row r="115" spans="6:23">
      <c r="F115" s="126" t="s">
        <v>762</v>
      </c>
      <c r="G115" s="176" t="s">
        <v>763</v>
      </c>
      <c r="H115" s="135" t="str" cm="1">
        <f t="array" ref="H115">IF(LEFT(G115,6)=LEFT(G116,6),"",SUM(_xlfn._xlws.FILTER($M$3:$M$976,LEFT($G$3:$G$976,6)=LEFT(G115,6))))</f>
        <v/>
      </c>
      <c r="I115" s="154" t="s">
        <v>764</v>
      </c>
      <c r="J115" s="135" t="str" cm="1">
        <f t="array" ref="J115">IF(LEFT(I115,6)=LEFT(I116,6),"",SUM(_xlfn._xlws.FILTER($M$3:$M$976,LEFT($I$3:$I$976,6)=LEFT(I115,6))))</f>
        <v/>
      </c>
      <c r="K115" s="135" t="s">
        <v>765</v>
      </c>
      <c r="L115" s="135" t="str" cm="1">
        <f t="array" ref="L115">IF(LEFT(K115,6)=LEFT(K116,6),"",SUM(_xlfn._xlws.FILTER($M$3:$M$976,LEFT($K$3:$K$976,6)=LEFT(K115,6))))</f>
        <v/>
      </c>
      <c r="M115" s="135">
        <v>47</v>
      </c>
      <c r="N115" s="135" t="s">
        <v>310</v>
      </c>
      <c r="O115" s="135" t="s">
        <v>163</v>
      </c>
      <c r="P115" s="126"/>
      <c r="Q115" s="168"/>
      <c r="R115" s="14"/>
      <c r="S115" s="14"/>
      <c r="T115" s="14"/>
      <c r="U115" s="14"/>
      <c r="V115" s="14"/>
      <c r="W115" s="14"/>
    </row>
    <row r="116" spans="6:23">
      <c r="F116" s="126" t="s">
        <v>766</v>
      </c>
      <c r="G116" s="176" t="s">
        <v>767</v>
      </c>
      <c r="H116" s="135" cm="1">
        <f t="array" ref="H116">IF(LEFT(G116,6)=LEFT(G117,6),"",SUM(_xlfn._xlws.FILTER($M$3:$M$976,LEFT($G$3:$G$976,6)=LEFT(G116,6))))</f>
        <v>1000</v>
      </c>
      <c r="I116" s="154" t="s">
        <v>768</v>
      </c>
      <c r="J116" s="135" cm="1">
        <f t="array" ref="J116">IF(LEFT(I116,6)=LEFT(I117,6),"",SUM(_xlfn._xlws.FILTER($M$3:$M$976,LEFT($I$3:$I$976,6)=LEFT(I116,6))))</f>
        <v>302</v>
      </c>
      <c r="K116" s="135" t="s">
        <v>769</v>
      </c>
      <c r="L116" s="135" cm="1">
        <f t="array" ref="L116">IF(LEFT(K116,6)=LEFT(K117,6),"",SUM(_xlfn._xlws.FILTER($M$3:$M$976,LEFT($K$3:$K$976,6)=LEFT(K116,6))))</f>
        <v>302</v>
      </c>
      <c r="M116" s="135">
        <v>47</v>
      </c>
      <c r="N116" s="135" t="s">
        <v>310</v>
      </c>
      <c r="O116" s="135" t="s">
        <v>171</v>
      </c>
      <c r="P116" s="126"/>
      <c r="Q116" s="168"/>
      <c r="R116" s="14"/>
      <c r="S116" s="14"/>
      <c r="T116" s="14"/>
      <c r="U116" s="14"/>
      <c r="V116" s="14"/>
      <c r="W116" s="14"/>
    </row>
    <row r="117" spans="6:23">
      <c r="F117" s="126" t="s">
        <v>770</v>
      </c>
      <c r="G117" s="181" t="s">
        <v>771</v>
      </c>
      <c r="H117" s="135" t="str" cm="1">
        <f t="array" ref="H117">IF(LEFT(G117,6)=LEFT(G118,6),"",SUM(_xlfn._xlws.FILTER($M$3:$M$976,LEFT($G$3:$G$976,6)=LEFT(G117,6))))</f>
        <v/>
      </c>
      <c r="I117" s="162" t="s">
        <v>772</v>
      </c>
      <c r="J117" s="135" t="str" cm="1">
        <f t="array" ref="J117">IF(LEFT(I117,6)=LEFT(I118,6),"",SUM(_xlfn._xlws.FILTER($M$3:$M$976,LEFT($I$3:$I$976,6)=LEFT(I117,6))))</f>
        <v/>
      </c>
      <c r="K117" s="135" t="s">
        <v>773</v>
      </c>
      <c r="L117" s="135" t="str" cm="1">
        <f t="array" ref="L117">IF(LEFT(K117,6)=LEFT(K118,6),"",SUM(_xlfn._xlws.FILTER($M$3:$M$976,LEFT($K$3:$K$976,6)=LEFT(K117,6))))</f>
        <v/>
      </c>
      <c r="M117" s="135">
        <v>82</v>
      </c>
      <c r="N117" s="126" t="s">
        <v>331</v>
      </c>
      <c r="O117" s="135" t="s">
        <v>160</v>
      </c>
      <c r="P117" s="175"/>
      <c r="Q117" s="168"/>
      <c r="R117" s="14"/>
      <c r="S117" s="14"/>
      <c r="T117" s="14"/>
      <c r="U117" s="14"/>
      <c r="V117" s="14"/>
      <c r="W117" s="14"/>
    </row>
    <row r="118" spans="6:23">
      <c r="F118" s="126" t="s">
        <v>774</v>
      </c>
      <c r="G118" s="181" t="s">
        <v>775</v>
      </c>
      <c r="H118" s="135" t="str" cm="1">
        <f t="array" ref="H118">IF(LEFT(G118,6)=LEFT(G119,6),"",SUM(_xlfn._xlws.FILTER($M$3:$M$976,LEFT($G$3:$G$976,6)=LEFT(G118,6))))</f>
        <v/>
      </c>
      <c r="I118" s="162" t="s">
        <v>776</v>
      </c>
      <c r="J118" s="135" t="str" cm="1">
        <f t="array" ref="J118">IF(LEFT(I118,6)=LEFT(I119,6),"",SUM(_xlfn._xlws.FILTER($M$3:$M$976,LEFT($I$3:$I$976,6)=LEFT(I118,6))))</f>
        <v/>
      </c>
      <c r="K118" s="135" t="s">
        <v>777</v>
      </c>
      <c r="L118" s="135" t="str" cm="1">
        <f t="array" ref="L118">IF(LEFT(K118,6)=LEFT(K119,6),"",SUM(_xlfn._xlws.FILTER($M$3:$M$976,LEFT($K$3:$K$976,6)=LEFT(K118,6))))</f>
        <v/>
      </c>
      <c r="M118" s="135">
        <v>45</v>
      </c>
      <c r="N118" s="126" t="s">
        <v>331</v>
      </c>
      <c r="O118" s="135" t="s">
        <v>167</v>
      </c>
      <c r="P118" s="175"/>
      <c r="Q118" s="168"/>
      <c r="R118" s="14"/>
      <c r="S118" s="14"/>
      <c r="T118" s="14"/>
      <c r="U118" s="14"/>
      <c r="V118" s="14"/>
      <c r="W118" s="14"/>
    </row>
    <row r="119" spans="6:23">
      <c r="F119" s="126" t="s">
        <v>778</v>
      </c>
      <c r="G119" s="181" t="s">
        <v>779</v>
      </c>
      <c r="H119" s="135" t="str" cm="1">
        <f t="array" ref="H119">IF(LEFT(G119,6)=LEFT(G120,6),"",SUM(_xlfn._xlws.FILTER($M$3:$M$976,LEFT($G$3:$G$976,6)=LEFT(G119,6))))</f>
        <v/>
      </c>
      <c r="I119" s="162" t="s">
        <v>780</v>
      </c>
      <c r="J119" s="135" t="str" cm="1">
        <f t="array" ref="J119">IF(LEFT(I119,6)=LEFT(I120,6),"",SUM(_xlfn._xlws.FILTER($M$3:$M$976,LEFT($I$3:$I$976,6)=LEFT(I119,6))))</f>
        <v/>
      </c>
      <c r="K119" s="135" t="s">
        <v>781</v>
      </c>
      <c r="L119" s="135" cm="1">
        <f t="array" ref="L119">IF(LEFT(K119,6)=LEFT(K120,6),"",SUM(_xlfn._xlws.FILTER($M$3:$M$976,LEFT($K$3:$K$976,6)=LEFT(K119,6))))</f>
        <v>179</v>
      </c>
      <c r="M119" s="135">
        <v>52</v>
      </c>
      <c r="N119" s="126" t="s">
        <v>331</v>
      </c>
      <c r="O119" s="135" t="s">
        <v>167</v>
      </c>
      <c r="P119" s="175"/>
      <c r="Q119" s="168"/>
      <c r="R119" s="14"/>
      <c r="S119" s="14"/>
      <c r="T119" s="14"/>
      <c r="U119" s="14"/>
      <c r="V119" s="14"/>
      <c r="W119" s="14"/>
    </row>
    <row r="120" spans="6:23">
      <c r="F120" s="126" t="s">
        <v>782</v>
      </c>
      <c r="G120" s="181" t="s">
        <v>783</v>
      </c>
      <c r="H120" s="135" t="str" cm="1">
        <f t="array" ref="H120">IF(LEFT(G120,6)=LEFT(G121,6),"",SUM(_xlfn._xlws.FILTER($M$3:$M$976,LEFT($G$3:$G$976,6)=LEFT(G120,6))))</f>
        <v/>
      </c>
      <c r="I120" s="162" t="s">
        <v>784</v>
      </c>
      <c r="J120" s="135" t="str" cm="1">
        <f t="array" ref="J120">IF(LEFT(I120,6)=LEFT(I121,6),"",SUM(_xlfn._xlws.FILTER($M$3:$M$976,LEFT($I$3:$I$976,6)=LEFT(I120,6))))</f>
        <v/>
      </c>
      <c r="K120" s="135" t="s">
        <v>785</v>
      </c>
      <c r="L120" s="135" t="str" cm="1">
        <f t="array" ref="L120">IF(LEFT(K120,6)=LEFT(K121,6),"",SUM(_xlfn._xlws.FILTER($M$3:$M$976,LEFT($K$3:$K$976,6)=LEFT(K120,6))))</f>
        <v/>
      </c>
      <c r="M120" s="135">
        <v>51</v>
      </c>
      <c r="N120" s="126" t="s">
        <v>331</v>
      </c>
      <c r="O120" s="135" t="s">
        <v>167</v>
      </c>
      <c r="P120" s="175"/>
      <c r="Q120" s="168"/>
      <c r="R120" s="14"/>
      <c r="S120" s="14"/>
      <c r="T120" s="14"/>
      <c r="U120" s="14"/>
      <c r="V120" s="14"/>
      <c r="W120" s="14"/>
    </row>
    <row r="121" spans="6:23">
      <c r="F121" s="126" t="s">
        <v>786</v>
      </c>
      <c r="G121" s="181" t="s">
        <v>787</v>
      </c>
      <c r="H121" s="135" t="str" cm="1">
        <f t="array" ref="H121">IF(LEFT(G121,6)=LEFT(G122,6),"",SUM(_xlfn._xlws.FILTER($M$3:$M$976,LEFT($G$3:$G$976,6)=LEFT(G121,6))))</f>
        <v/>
      </c>
      <c r="I121" s="162" t="s">
        <v>788</v>
      </c>
      <c r="J121" s="135" t="str" cm="1">
        <f t="array" ref="J121">IF(LEFT(I121,6)=LEFT(I122,6),"",SUM(_xlfn._xlws.FILTER($M$3:$M$976,LEFT($I$3:$I$976,6)=LEFT(I121,6))))</f>
        <v/>
      </c>
      <c r="K121" s="135" t="s">
        <v>789</v>
      </c>
      <c r="L121" s="135" cm="1">
        <f t="array" ref="L121">IF(LEFT(K121,6)=LEFT(K122,6),"",SUM(_xlfn._xlws.FILTER($M$3:$M$976,LEFT($K$3:$K$976,6)=LEFT(K121,6))))</f>
        <v>106</v>
      </c>
      <c r="M121" s="135">
        <v>55</v>
      </c>
      <c r="N121" s="126" t="s">
        <v>331</v>
      </c>
      <c r="O121" s="135" t="s">
        <v>171</v>
      </c>
      <c r="P121" s="175"/>
      <c r="Q121" s="168"/>
      <c r="R121" s="14"/>
      <c r="S121" s="14"/>
      <c r="T121" s="14"/>
      <c r="U121" s="14"/>
      <c r="V121" s="14"/>
      <c r="W121" s="14"/>
    </row>
    <row r="122" spans="6:23">
      <c r="F122" s="126" t="s">
        <v>790</v>
      </c>
      <c r="G122" s="181" t="s">
        <v>791</v>
      </c>
      <c r="H122" s="135" cm="1">
        <f t="array" ref="H122">IF(LEFT(G122,6)=LEFT(G123,6),"",SUM(_xlfn._xlws.FILTER($M$3:$M$976,LEFT($G$3:$G$976,6)=LEFT(G122,6))))</f>
        <v>337</v>
      </c>
      <c r="I122" s="162" t="s">
        <v>792</v>
      </c>
      <c r="J122" s="135" cm="1">
        <f t="array" ref="J122">IF(LEFT(I122,6)=LEFT(I123,6),"",SUM(_xlfn._xlws.FILTER($M$3:$M$976,LEFT($I$3:$I$976,6)=LEFT(I122,6))))</f>
        <v>337</v>
      </c>
      <c r="K122" s="135" t="s">
        <v>793</v>
      </c>
      <c r="L122" s="135" cm="1">
        <f t="array" ref="L122">IF(LEFT(K122,6)=LEFT(K123,6),"",SUM(_xlfn._xlws.FILTER($M$3:$M$976,LEFT($K$3:$K$976,6)=LEFT(K122,6))))</f>
        <v>52</v>
      </c>
      <c r="M122" s="135">
        <v>52</v>
      </c>
      <c r="N122" s="126" t="s">
        <v>331</v>
      </c>
      <c r="O122" s="135" t="s">
        <v>171</v>
      </c>
      <c r="P122" s="175"/>
      <c r="Q122" s="168" t="s">
        <v>794</v>
      </c>
      <c r="R122" s="14"/>
      <c r="S122" s="14"/>
      <c r="T122" s="14"/>
      <c r="U122" s="14"/>
      <c r="V122" s="14"/>
      <c r="W122" s="14"/>
    </row>
    <row r="123" spans="6:23">
      <c r="F123" s="126" t="s">
        <v>795</v>
      </c>
      <c r="G123" s="174" t="s">
        <v>796</v>
      </c>
      <c r="H123" s="135" t="str" cm="1">
        <f t="array" ref="H123">IF(LEFT(G123,6)=LEFT(G124,6),"",SUM(_xlfn._xlws.FILTER($M$3:$M$976,LEFT($G$3:$G$976,6)=LEFT(G123,6))))</f>
        <v/>
      </c>
      <c r="I123" s="163" t="s">
        <v>797</v>
      </c>
      <c r="J123" s="135" t="str" cm="1">
        <f t="array" ref="J123">IF(LEFT(I123,6)=LEFT(I124,6),"",SUM(_xlfn._xlws.FILTER($M$3:$M$976,LEFT($I$3:$I$976,6)=LEFT(I123,6))))</f>
        <v/>
      </c>
      <c r="K123" s="135" t="s">
        <v>798</v>
      </c>
      <c r="L123" s="135" t="str" cm="1">
        <f t="array" ref="L123">IF(LEFT(K123,6)=LEFT(K124,6),"",SUM(_xlfn._xlws.FILTER($M$3:$M$976,LEFT($K$3:$K$976,6)=LEFT(K123,6))))</f>
        <v/>
      </c>
      <c r="M123" s="135">
        <v>61</v>
      </c>
      <c r="N123" s="126" t="s">
        <v>331</v>
      </c>
      <c r="O123" s="135" t="s">
        <v>171</v>
      </c>
      <c r="P123" s="175"/>
      <c r="Q123" s="168"/>
      <c r="R123" s="14"/>
      <c r="S123" s="14"/>
      <c r="T123" s="14"/>
      <c r="U123" s="14"/>
      <c r="V123" s="14"/>
      <c r="W123" s="14"/>
    </row>
    <row r="124" spans="6:23">
      <c r="F124" s="126" t="s">
        <v>799</v>
      </c>
      <c r="G124" s="174" t="s">
        <v>800</v>
      </c>
      <c r="H124" s="135" t="str" cm="1">
        <f t="array" ref="H124">IF(LEFT(G124,6)=LEFT(G125,6),"",SUM(_xlfn._xlws.FILTER($M$3:$M$976,LEFT($G$3:$G$976,6)=LEFT(G124,6))))</f>
        <v/>
      </c>
      <c r="I124" s="163" t="s">
        <v>801</v>
      </c>
      <c r="J124" s="135" t="str" cm="1">
        <f t="array" ref="J124">IF(LEFT(I124,6)=LEFT(I125,6),"",SUM(_xlfn._xlws.FILTER($M$3:$M$976,LEFT($I$3:$I$976,6)=LEFT(I124,6))))</f>
        <v/>
      </c>
      <c r="K124" s="135" t="s">
        <v>802</v>
      </c>
      <c r="L124" s="135" t="str" cm="1">
        <f t="array" ref="L124">IF(LEFT(K124,6)=LEFT(K125,6),"",SUM(_xlfn._xlws.FILTER($M$3:$M$976,LEFT($K$3:$K$976,6)=LEFT(K124,6))))</f>
        <v/>
      </c>
      <c r="M124" s="135">
        <v>66</v>
      </c>
      <c r="N124" s="126" t="s">
        <v>331</v>
      </c>
      <c r="O124" s="135" t="s">
        <v>171</v>
      </c>
      <c r="P124" s="175"/>
      <c r="Q124" s="168"/>
      <c r="R124" s="14"/>
      <c r="S124" s="14"/>
      <c r="T124" s="14"/>
      <c r="U124" s="14"/>
      <c r="V124" s="14"/>
      <c r="W124" s="14"/>
    </row>
    <row r="125" spans="6:23">
      <c r="F125" s="126" t="s">
        <v>803</v>
      </c>
      <c r="G125" s="174" t="s">
        <v>804</v>
      </c>
      <c r="H125" s="135" t="str" cm="1">
        <f t="array" ref="H125">IF(LEFT(G125,6)=LEFT(G126,6),"",SUM(_xlfn._xlws.FILTER($M$3:$M$976,LEFT($G$3:$G$976,6)=LEFT(G125,6))))</f>
        <v/>
      </c>
      <c r="I125" s="163" t="s">
        <v>805</v>
      </c>
      <c r="J125" s="135" t="str" cm="1">
        <f t="array" ref="J125">IF(LEFT(I125,6)=LEFT(I126,6),"",SUM(_xlfn._xlws.FILTER($M$3:$M$976,LEFT($I$3:$I$976,6)=LEFT(I125,6))))</f>
        <v/>
      </c>
      <c r="K125" s="135" t="s">
        <v>806</v>
      </c>
      <c r="L125" s="135" t="str" cm="1">
        <f t="array" ref="L125">IF(LEFT(K125,6)=LEFT(K126,6),"",SUM(_xlfn._xlws.FILTER($M$3:$M$976,LEFT($K$3:$K$976,6)=LEFT(K125,6))))</f>
        <v/>
      </c>
      <c r="M125" s="135">
        <v>59</v>
      </c>
      <c r="N125" s="126" t="s">
        <v>331</v>
      </c>
      <c r="O125" s="135" t="s">
        <v>163</v>
      </c>
      <c r="P125" s="175"/>
      <c r="Q125" s="168"/>
      <c r="R125" s="14"/>
      <c r="S125" s="14"/>
      <c r="T125" s="14"/>
      <c r="U125" s="14"/>
      <c r="V125" s="14"/>
      <c r="W125" s="14"/>
    </row>
    <row r="126" spans="6:23">
      <c r="F126" s="126" t="s">
        <v>807</v>
      </c>
      <c r="G126" s="174" t="s">
        <v>808</v>
      </c>
      <c r="H126" s="135" t="str" cm="1">
        <f t="array" ref="H126">IF(LEFT(G126,6)=LEFT(G127,6),"",SUM(_xlfn._xlws.FILTER($M$3:$M$976,LEFT($G$3:$G$976,6)=LEFT(G126,6))))</f>
        <v/>
      </c>
      <c r="I126" s="163" t="s">
        <v>809</v>
      </c>
      <c r="J126" s="135" t="str" cm="1">
        <f t="array" ref="J126">IF(LEFT(I126,6)=LEFT(I127,6),"",SUM(_xlfn._xlws.FILTER($M$3:$M$976,LEFT($I$3:$I$976,6)=LEFT(I126,6))))</f>
        <v/>
      </c>
      <c r="K126" s="135" t="s">
        <v>810</v>
      </c>
      <c r="L126" s="135" t="str" cm="1">
        <f t="array" ref="L126">IF(LEFT(K126,6)=LEFT(K127,6),"",SUM(_xlfn._xlws.FILTER($M$3:$M$976,LEFT($K$3:$K$976,6)=LEFT(K126,6))))</f>
        <v/>
      </c>
      <c r="M126" s="135">
        <v>47</v>
      </c>
      <c r="N126" s="126" t="s">
        <v>331</v>
      </c>
      <c r="O126" s="135" t="s">
        <v>163</v>
      </c>
      <c r="P126" s="175"/>
      <c r="Q126" s="168"/>
      <c r="R126" s="14"/>
      <c r="S126" s="14"/>
      <c r="T126" s="14"/>
      <c r="U126" s="14"/>
      <c r="V126" s="14"/>
      <c r="W126" s="14"/>
    </row>
    <row r="127" spans="6:23">
      <c r="F127" s="126" t="s">
        <v>811</v>
      </c>
      <c r="G127" s="174" t="s">
        <v>812</v>
      </c>
      <c r="H127" s="135" t="str" cm="1">
        <f t="array" ref="H127">IF(LEFT(G127,6)=LEFT(G128,6),"",SUM(_xlfn._xlws.FILTER($M$3:$M$976,LEFT($G$3:$G$976,6)=LEFT(G127,6))))</f>
        <v/>
      </c>
      <c r="I127" s="163" t="s">
        <v>813</v>
      </c>
      <c r="J127" s="135" t="str" cm="1">
        <f t="array" ref="J127">IF(LEFT(I127,6)=LEFT(I128,6),"",SUM(_xlfn._xlws.FILTER($M$3:$M$976,LEFT($I$3:$I$976,6)=LEFT(I127,6))))</f>
        <v/>
      </c>
      <c r="K127" s="135" t="s">
        <v>814</v>
      </c>
      <c r="L127" s="135" t="str" cm="1">
        <f t="array" ref="L127">IF(LEFT(K127,6)=LEFT(K128,6),"",SUM(_xlfn._xlws.FILTER($M$3:$M$976,LEFT($K$3:$K$976,6)=LEFT(K127,6))))</f>
        <v/>
      </c>
      <c r="M127" s="135">
        <v>57</v>
      </c>
      <c r="N127" s="126" t="s">
        <v>331</v>
      </c>
      <c r="O127" s="135" t="s">
        <v>167</v>
      </c>
      <c r="P127" s="175"/>
      <c r="Q127" s="168"/>
      <c r="R127" s="14"/>
      <c r="S127" s="14"/>
      <c r="T127" s="14"/>
      <c r="U127" s="14"/>
      <c r="V127" s="14"/>
      <c r="W127" s="14"/>
    </row>
    <row r="128" spans="6:23">
      <c r="F128" s="126" t="s">
        <v>815</v>
      </c>
      <c r="G128" s="174" t="s">
        <v>816</v>
      </c>
      <c r="H128" s="135" cm="1">
        <f t="array" ref="H128">IF(LEFT(G128,6)=LEFT(G129,6),"",SUM(_xlfn._xlws.FILTER($M$3:$M$976,LEFT($G$3:$G$976,6)=LEFT(G128,6))))</f>
        <v>343</v>
      </c>
      <c r="I128" s="163" t="s">
        <v>817</v>
      </c>
      <c r="J128" s="135" cm="1">
        <f t="array" ref="J128">IF(LEFT(I128,6)=LEFT(I129,6),"",SUM(_xlfn._xlws.FILTER($M$3:$M$976,LEFT($I$3:$I$976,6)=LEFT(I128,6))))</f>
        <v>343</v>
      </c>
      <c r="K128" s="135" t="s">
        <v>818</v>
      </c>
      <c r="L128" s="135" cm="1">
        <f t="array" ref="L128">IF(LEFT(K128,6)=LEFT(K129,6),"",SUM(_xlfn._xlws.FILTER($M$3:$M$976,LEFT($K$3:$K$976,6)=LEFT(K128,6))))</f>
        <v>343</v>
      </c>
      <c r="M128" s="135">
        <v>53</v>
      </c>
      <c r="N128" s="126" t="s">
        <v>331</v>
      </c>
      <c r="O128" s="135" t="s">
        <v>160</v>
      </c>
      <c r="P128" s="175"/>
      <c r="Q128" s="168" t="s">
        <v>819</v>
      </c>
      <c r="R128" s="14"/>
      <c r="S128" s="14"/>
      <c r="T128" s="14"/>
      <c r="U128" s="14"/>
      <c r="V128" s="14"/>
      <c r="W128" s="14"/>
    </row>
    <row r="129" spans="2:23">
      <c r="F129" s="126" t="s">
        <v>820</v>
      </c>
      <c r="G129" s="160" t="s">
        <v>821</v>
      </c>
      <c r="H129" s="135" t="str" cm="1">
        <f t="array" ref="H129">IF(LEFT(G129,6)=LEFT(G130,6),"",SUM(_xlfn._xlws.FILTER($M$3:$M$976,LEFT($G$3:$G$976,6)=LEFT(G129,6))))</f>
        <v/>
      </c>
      <c r="I129" s="182" t="s">
        <v>822</v>
      </c>
      <c r="J129" s="135" t="str" cm="1">
        <f t="array" ref="J129">IF(LEFT(I129,6)=LEFT(I130,6),"",SUM(_xlfn._xlws.FILTER($M$3:$M$976,LEFT($I$3:$I$976,6)=LEFT(I129,6))))</f>
        <v/>
      </c>
      <c r="K129" s="135" t="s">
        <v>823</v>
      </c>
      <c r="L129" s="135" t="str" cm="1">
        <f t="array" ref="L129">IF(LEFT(K129,6)=LEFT(K130,6),"",SUM(_xlfn._xlws.FILTER($M$3:$M$976,LEFT($K$3:$K$976,6)=LEFT(K129,6))))</f>
        <v/>
      </c>
      <c r="M129" s="135">
        <v>45</v>
      </c>
      <c r="N129" s="126" t="s">
        <v>331</v>
      </c>
      <c r="O129" s="135" t="s">
        <v>171</v>
      </c>
      <c r="P129" s="175"/>
      <c r="R129" s="14"/>
      <c r="S129" s="14"/>
      <c r="T129" s="14"/>
      <c r="U129" s="14"/>
      <c r="V129" s="14"/>
      <c r="W129" s="14"/>
    </row>
    <row r="130" spans="2:23">
      <c r="F130" s="126" t="s">
        <v>824</v>
      </c>
      <c r="G130" s="160" t="s">
        <v>825</v>
      </c>
      <c r="H130" s="135" t="str" cm="1">
        <f t="array" ref="H130">IF(LEFT(G130,6)=LEFT(G131,6),"",SUM(_xlfn._xlws.FILTER($M$3:$M$976,LEFT($G$3:$G$976,6)=LEFT(G130,6))))</f>
        <v/>
      </c>
      <c r="I130" s="182" t="s">
        <v>826</v>
      </c>
      <c r="J130" s="135" t="str" cm="1">
        <f t="array" ref="J130">IF(LEFT(I130,6)=LEFT(I131,6),"",SUM(_xlfn._xlws.FILTER($M$3:$M$976,LEFT($I$3:$I$976,6)=LEFT(I130,6))))</f>
        <v/>
      </c>
      <c r="K130" s="135" t="s">
        <v>827</v>
      </c>
      <c r="L130" s="135" cm="1">
        <f t="array" ref="L130">IF(LEFT(K130,6)=LEFT(K131,6),"",SUM(_xlfn._xlws.FILTER($M$3:$M$976,LEFT($K$3:$K$976,6)=LEFT(K130,6))))</f>
        <v>96</v>
      </c>
      <c r="M130" s="135">
        <v>51</v>
      </c>
      <c r="N130" s="126" t="s">
        <v>331</v>
      </c>
      <c r="O130" s="135" t="s">
        <v>171</v>
      </c>
      <c r="P130" s="175"/>
      <c r="Q130" s="168"/>
      <c r="R130" s="14"/>
      <c r="S130" s="14"/>
      <c r="T130" s="14"/>
      <c r="U130" s="14"/>
      <c r="V130" s="14"/>
      <c r="W130" s="14"/>
    </row>
    <row r="131" spans="2:23">
      <c r="F131" s="126" t="s">
        <v>828</v>
      </c>
      <c r="G131" s="160" t="s">
        <v>829</v>
      </c>
      <c r="H131" s="135" t="str" cm="1">
        <f t="array" ref="H131">IF(LEFT(G131,6)=LEFT(G132,6),"",SUM(_xlfn._xlws.FILTER($M$3:$M$976,LEFT($G$3:$G$976,6)=LEFT(G131,6))))</f>
        <v/>
      </c>
      <c r="I131" s="182" t="s">
        <v>830</v>
      </c>
      <c r="J131" s="135" t="str" cm="1">
        <f t="array" ref="J131">IF(LEFT(I131,6)=LEFT(I132,6),"",SUM(_xlfn._xlws.FILTER($M$3:$M$976,LEFT($I$3:$I$976,6)=LEFT(I131,6))))</f>
        <v/>
      </c>
      <c r="K131" s="135" t="s">
        <v>831</v>
      </c>
      <c r="L131" s="135" t="str" cm="1">
        <f t="array" ref="L131">IF(LEFT(K131,6)=LEFT(K132,6),"",SUM(_xlfn._xlws.FILTER($M$3:$M$976,LEFT($K$3:$K$976,6)=LEFT(K131,6))))</f>
        <v/>
      </c>
      <c r="M131" s="135">
        <v>56</v>
      </c>
      <c r="N131" s="126" t="s">
        <v>331</v>
      </c>
      <c r="O131" s="135" t="s">
        <v>167</v>
      </c>
      <c r="P131" s="175"/>
      <c r="Q131" s="168"/>
      <c r="R131" s="14"/>
      <c r="S131" s="14"/>
      <c r="T131" s="14"/>
      <c r="U131" s="14"/>
      <c r="V131" s="14"/>
      <c r="W131" s="14"/>
    </row>
    <row r="132" spans="2:23">
      <c r="F132" s="126" t="s">
        <v>832</v>
      </c>
      <c r="G132" s="160" t="s">
        <v>833</v>
      </c>
      <c r="H132" s="135" t="str" cm="1">
        <f t="array" ref="H132">IF(LEFT(G132,6)=LEFT(G133,6),"",SUM(_xlfn._xlws.FILTER($M$3:$M$976,LEFT($G$3:$G$976,6)=LEFT(G132,6))))</f>
        <v/>
      </c>
      <c r="I132" s="182" t="s">
        <v>834</v>
      </c>
      <c r="J132" s="135" t="str" cm="1">
        <f t="array" ref="J132">IF(LEFT(I132,6)=LEFT(I133,6),"",SUM(_xlfn._xlws.FILTER($M$3:$M$976,LEFT($I$3:$I$976,6)=LEFT(I132,6))))</f>
        <v/>
      </c>
      <c r="K132" s="135" t="s">
        <v>835</v>
      </c>
      <c r="L132" s="135" t="str" cm="1">
        <f t="array" ref="L132">IF(LEFT(K132,6)=LEFT(K133,6),"",SUM(_xlfn._xlws.FILTER($M$3:$M$976,LEFT($K$3:$K$976,6)=LEFT(K132,6))))</f>
        <v/>
      </c>
      <c r="M132" s="135">
        <v>59</v>
      </c>
      <c r="N132" s="126" t="s">
        <v>331</v>
      </c>
      <c r="O132" s="135" t="s">
        <v>167</v>
      </c>
      <c r="P132" s="175"/>
      <c r="Q132" s="168"/>
      <c r="R132" s="14"/>
      <c r="S132" s="14"/>
      <c r="T132" s="14"/>
      <c r="U132" s="14"/>
      <c r="V132" s="14"/>
      <c r="W132" s="14"/>
    </row>
    <row r="133" spans="2:23">
      <c r="F133" s="126" t="s">
        <v>836</v>
      </c>
      <c r="G133" s="160" t="s">
        <v>837</v>
      </c>
      <c r="H133" s="135" t="str" cm="1">
        <f t="array" ref="H133">IF(LEFT(G133,6)=LEFT(G134,6),"",SUM(_xlfn._xlws.FILTER($M$3:$M$976,LEFT($G$3:$G$976,6)=LEFT(G133,6))))</f>
        <v/>
      </c>
      <c r="I133" s="182" t="s">
        <v>838</v>
      </c>
      <c r="J133" s="135" t="str" cm="1">
        <f t="array" ref="J133">IF(LEFT(I133,6)=LEFT(I134,6),"",SUM(_xlfn._xlws.FILTER($M$3:$M$976,LEFT($I$3:$I$976,6)=LEFT(I133,6))))</f>
        <v/>
      </c>
      <c r="K133" s="135" t="s">
        <v>839</v>
      </c>
      <c r="L133" s="135" t="str" cm="1">
        <f t="array" ref="L133">IF(LEFT(K133,6)=LEFT(K134,6),"",SUM(_xlfn._xlws.FILTER($M$3:$M$976,LEFT($K$3:$K$976,6)=LEFT(K133,6))))</f>
        <v/>
      </c>
      <c r="M133" s="135">
        <v>48</v>
      </c>
      <c r="N133" s="126" t="s">
        <v>331</v>
      </c>
      <c r="O133" s="135" t="s">
        <v>160</v>
      </c>
      <c r="P133" s="175"/>
      <c r="Q133" s="168"/>
      <c r="R133" s="14"/>
      <c r="S133" s="14"/>
      <c r="T133" s="14"/>
      <c r="U133" s="14"/>
      <c r="V133" s="14"/>
      <c r="W133" s="14"/>
    </row>
    <row r="134" spans="2:23">
      <c r="F134" s="126" t="s">
        <v>840</v>
      </c>
      <c r="G134" s="160" t="s">
        <v>841</v>
      </c>
      <c r="H134" s="135" t="str" cm="1">
        <f t="array" ref="H134">IF(LEFT(G134,6)=LEFT(G135,6),"",SUM(_xlfn._xlws.FILTER($M$3:$M$976,LEFT($G$3:$G$976,6)=LEFT(G134,6))))</f>
        <v/>
      </c>
      <c r="I134" s="182" t="s">
        <v>842</v>
      </c>
      <c r="J134" s="135" cm="1">
        <f t="array" ref="J134">IF(LEFT(I134,6)=LEFT(I135,6),"",SUM(_xlfn._xlws.FILTER($M$3:$M$976,LEFT($I$3:$I$976,6)=LEFT(I134,6))))</f>
        <v>309</v>
      </c>
      <c r="K134" s="135" t="s">
        <v>843</v>
      </c>
      <c r="L134" s="135" cm="1">
        <f t="array" ref="L134">IF(LEFT(K134,6)=LEFT(K135,6),"",SUM(_xlfn._xlws.FILTER($M$3:$M$976,LEFT($K$3:$K$976,6)=LEFT(K134,6))))</f>
        <v>213</v>
      </c>
      <c r="M134" s="135">
        <v>50</v>
      </c>
      <c r="N134" s="126" t="s">
        <v>331</v>
      </c>
      <c r="O134" s="135" t="s">
        <v>167</v>
      </c>
      <c r="P134" s="175"/>
      <c r="Q134" s="168"/>
      <c r="R134" s="14"/>
      <c r="S134" s="14"/>
      <c r="T134" s="14"/>
      <c r="U134" s="14"/>
      <c r="V134" s="14"/>
      <c r="W134" s="14"/>
    </row>
    <row r="135" spans="2:23">
      <c r="F135" s="126" t="s">
        <v>844</v>
      </c>
      <c r="G135" s="160" t="s">
        <v>845</v>
      </c>
      <c r="H135" s="135" t="str" cm="1">
        <f t="array" ref="H135">IF(LEFT(G135,6)=LEFT(G136,6),"",SUM(_xlfn._xlws.FILTER($M$3:$M$976,LEFT($G$3:$G$976,6)=LEFT(G135,6))))</f>
        <v/>
      </c>
      <c r="I135" s="135" t="s">
        <v>846</v>
      </c>
      <c r="J135" s="135" t="str" cm="1">
        <f t="array" ref="J135">IF(LEFT(I135,6)=LEFT(I136,6),"",SUM(_xlfn._xlws.FILTER($M$3:$M$976,LEFT($I$3:$I$976,6)=LEFT(I135,6))))</f>
        <v/>
      </c>
      <c r="K135" s="135" t="s">
        <v>847</v>
      </c>
      <c r="L135" s="135" t="str" cm="1">
        <f t="array" ref="L135">IF(LEFT(K135,6)=LEFT(K136,6),"",SUM(_xlfn._xlws.FILTER($M$3:$M$976,LEFT($K$3:$K$976,6)=LEFT(K135,6))))</f>
        <v/>
      </c>
      <c r="M135" s="135">
        <v>54</v>
      </c>
      <c r="N135" s="126" t="s">
        <v>331</v>
      </c>
      <c r="O135" s="135" t="s">
        <v>167</v>
      </c>
      <c r="P135" s="175"/>
      <c r="Q135" s="168"/>
      <c r="R135" s="14"/>
      <c r="S135" s="14"/>
      <c r="T135" s="14"/>
      <c r="U135" s="14"/>
      <c r="V135" s="14"/>
      <c r="W135" s="14"/>
    </row>
    <row r="136" spans="2:23">
      <c r="F136" s="126" t="s">
        <v>848</v>
      </c>
      <c r="G136" s="160" t="s">
        <v>849</v>
      </c>
      <c r="H136" s="135" t="str" cm="1">
        <f t="array" ref="H136">IF(LEFT(G136,6)=LEFT(G137,6),"",SUM(_xlfn._xlws.FILTER($M$3:$M$976,LEFT($G$3:$G$976,6)=LEFT(G136,6))))</f>
        <v/>
      </c>
      <c r="I136" s="135" t="s">
        <v>850</v>
      </c>
      <c r="J136" s="135" t="str" cm="1">
        <f t="array" ref="J136">IF(LEFT(I136,6)=LEFT(I137,6),"",SUM(_xlfn._xlws.FILTER($M$3:$M$976,LEFT($I$3:$I$976,6)=LEFT(I136,6))))</f>
        <v/>
      </c>
      <c r="K136" s="135" t="s">
        <v>851</v>
      </c>
      <c r="L136" s="135" t="str" cm="1">
        <f t="array" ref="L136">IF(LEFT(K136,6)=LEFT(K137,6),"",SUM(_xlfn._xlws.FILTER($M$3:$M$976,LEFT($K$3:$K$976,6)=LEFT(K136,6))))</f>
        <v/>
      </c>
      <c r="M136" s="135">
        <v>55</v>
      </c>
      <c r="N136" s="126" t="s">
        <v>331</v>
      </c>
      <c r="O136" s="135" t="s">
        <v>171</v>
      </c>
      <c r="P136" s="175"/>
      <c r="Q136" s="168"/>
      <c r="R136" s="14"/>
      <c r="S136" s="14"/>
      <c r="T136" s="14"/>
      <c r="U136" s="14"/>
      <c r="V136" s="14"/>
      <c r="W136" s="14"/>
    </row>
    <row r="137" spans="2:23">
      <c r="B137" t="s">
        <v>852</v>
      </c>
      <c r="C137" t="s">
        <v>853</v>
      </c>
      <c r="D137">
        <v>20260821</v>
      </c>
      <c r="F137" s="126" t="s">
        <v>854</v>
      </c>
      <c r="G137" s="160" t="s">
        <v>855</v>
      </c>
      <c r="H137" s="135" cm="1">
        <f t="array" ref="H137">IF(LEFT(G137,6)=LEFT(G138,6),"",SUM(_xlfn._xlws.FILTER($M$3:$M$976,LEFT($G$3:$G$976,6)=LEFT(G137,6))))</f>
        <v>463</v>
      </c>
      <c r="I137" s="135" t="s">
        <v>856</v>
      </c>
      <c r="J137" s="135" cm="1">
        <f t="array" ref="J137">IF(LEFT(I137,6)=LEFT(I138,6),"",SUM(_xlfn._xlws.FILTER($M$3:$M$976,LEFT($I$3:$I$976,6)=LEFT(I137,6))))</f>
        <v>154</v>
      </c>
      <c r="K137" s="135" t="s">
        <v>857</v>
      </c>
      <c r="L137" s="135" cm="1">
        <f t="array" ref="L137">IF(LEFT(K137,6)=LEFT(K138,6),"",SUM(_xlfn._xlws.FILTER($M$3:$M$976,LEFT($K$3:$K$976,6)=LEFT(K137,6))))</f>
        <v>154</v>
      </c>
      <c r="M137" s="135">
        <v>45</v>
      </c>
      <c r="N137" s="126" t="s">
        <v>331</v>
      </c>
      <c r="O137" s="135" t="s">
        <v>171</v>
      </c>
      <c r="P137" s="175"/>
      <c r="Q137" s="168"/>
      <c r="R137" s="14"/>
      <c r="S137" s="14"/>
      <c r="T137" s="14"/>
      <c r="U137" s="14"/>
      <c r="V137" s="14"/>
      <c r="W137" s="14"/>
    </row>
  </sheetData>
  <mergeCells count="1">
    <mergeCell ref="R1:W1"/>
  </mergeCells>
  <phoneticPr fontId="1"/>
  <pageMargins left="0.7" right="0.7" top="0.75" bottom="0.75" header="0.3" footer="0.3"/>
  <pageSetup paperSize="9" scale="5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618-F506-42A0-88E0-5119AD465896}">
  <dimension ref="A4:AT96"/>
  <sheetViews>
    <sheetView showGridLines="0" view="pageBreakPreview" topLeftCell="A4" zoomScale="60" zoomScaleNormal="85" workbookViewId="0">
      <selection activeCell="A30" sqref="A30:XFD30"/>
    </sheetView>
  </sheetViews>
  <sheetFormatPr defaultRowHeight="13.5"/>
  <cols>
    <col min="1" max="1" width="5.875" style="1" customWidth="1"/>
    <col min="2" max="2" width="44.125" style="1" customWidth="1"/>
    <col min="3" max="3" width="55.625" style="1" customWidth="1"/>
    <col min="4" max="4" width="14.375" style="1" customWidth="1"/>
    <col min="5" max="5" width="18.25" style="1" bestFit="1" customWidth="1"/>
    <col min="6" max="6" width="9.125" style="2" bestFit="1" customWidth="1"/>
    <col min="7" max="7" width="10.125" style="2" bestFit="1" customWidth="1"/>
    <col min="8" max="8" width="8.875" bestFit="1" customWidth="1"/>
    <col min="9" max="9" width="9.25" bestFit="1" customWidth="1"/>
    <col min="10" max="10" width="8.875" bestFit="1" customWidth="1"/>
    <col min="11" max="11" width="8.625" bestFit="1" customWidth="1"/>
    <col min="12" max="12" width="8.875" bestFit="1" customWidth="1"/>
    <col min="13" max="13" width="8.625" bestFit="1" customWidth="1"/>
    <col min="14" max="14" width="8.875" bestFit="1" customWidth="1"/>
    <col min="15" max="15" width="8.625" bestFit="1" customWidth="1"/>
    <col min="16" max="16" width="8.875" bestFit="1" customWidth="1"/>
    <col min="17" max="17" width="8.625" bestFit="1" customWidth="1"/>
    <col min="18" max="18" width="8.25" bestFit="1" customWidth="1"/>
    <col min="19" max="19" width="8.75" bestFit="1" customWidth="1"/>
    <col min="20" max="20" width="8.875" bestFit="1" customWidth="1"/>
    <col min="21" max="21" width="8.625" bestFit="1" customWidth="1"/>
    <col min="22" max="22" width="8.875" bestFit="1" customWidth="1"/>
    <col min="23" max="23" width="8.625" bestFit="1" customWidth="1"/>
    <col min="24" max="24" width="8.875" bestFit="1" customWidth="1"/>
    <col min="25" max="25" width="8.625" bestFit="1" customWidth="1"/>
    <col min="26" max="26" width="8.875" bestFit="1" customWidth="1"/>
    <col min="27" max="27" width="8.625" bestFit="1" customWidth="1"/>
    <col min="28" max="28" width="8.875" bestFit="1" customWidth="1"/>
    <col min="29" max="29" width="8.625" bestFit="1" customWidth="1"/>
    <col min="30" max="30" width="8.25" bestFit="1" customWidth="1"/>
    <col min="31" max="31" width="8.75" bestFit="1" customWidth="1"/>
    <col min="32" max="32" width="10" bestFit="1" customWidth="1"/>
    <col min="33" max="33" width="9.75" bestFit="1" customWidth="1"/>
    <col min="34" max="34" width="8.875" bestFit="1" customWidth="1"/>
    <col min="35" max="35" width="8.625" bestFit="1" customWidth="1"/>
    <col min="36" max="36" width="10" bestFit="1" customWidth="1"/>
    <col min="37" max="37" width="9.75" bestFit="1" customWidth="1"/>
    <col min="38" max="38" width="8.875" bestFit="1" customWidth="1"/>
    <col min="39" max="39" width="8.625" bestFit="1" customWidth="1"/>
    <col min="40" max="40" width="8.875" bestFit="1" customWidth="1"/>
    <col min="41" max="41" width="8.625" bestFit="1" customWidth="1"/>
    <col min="42" max="42" width="8.25" bestFit="1" customWidth="1"/>
    <col min="43" max="43" width="8.75" bestFit="1" customWidth="1"/>
    <col min="44" max="44" width="8.875" bestFit="1" customWidth="1"/>
    <col min="45" max="45" width="8.625" bestFit="1" customWidth="1"/>
  </cols>
  <sheetData>
    <row r="4" spans="1:34">
      <c r="C4"/>
      <c r="D4"/>
      <c r="E4"/>
    </row>
    <row r="5" spans="1:34" ht="21" thickBot="1">
      <c r="B5" s="3" t="s">
        <v>0</v>
      </c>
    </row>
    <row r="6" spans="1:34" ht="15">
      <c r="V6" s="4" t="s">
        <v>1</v>
      </c>
      <c r="W6" s="5" t="s">
        <v>2</v>
      </c>
      <c r="X6" s="5" t="s">
        <v>3</v>
      </c>
      <c r="Y6" s="6" t="s">
        <v>4</v>
      </c>
      <c r="Z6" s="7"/>
      <c r="AA6" s="7"/>
      <c r="AB6" s="7"/>
      <c r="AC6" s="7"/>
      <c r="AD6" s="6" t="s">
        <v>5</v>
      </c>
      <c r="AE6" s="7"/>
      <c r="AF6" s="8"/>
      <c r="AG6" s="8"/>
      <c r="AH6" s="9"/>
    </row>
    <row r="7" spans="1:34" ht="18">
      <c r="V7" s="10">
        <v>1</v>
      </c>
      <c r="W7" s="11" t="s">
        <v>6</v>
      </c>
      <c r="X7" s="12" t="s">
        <v>7</v>
      </c>
      <c r="Y7" s="13" t="s">
        <v>8</v>
      </c>
      <c r="Z7" s="14"/>
      <c r="AA7" s="14"/>
      <c r="AB7" s="14"/>
      <c r="AC7" s="14"/>
      <c r="AD7" s="13" t="s">
        <v>9</v>
      </c>
      <c r="AE7" s="14"/>
      <c r="AF7" s="14"/>
      <c r="AG7" s="14"/>
      <c r="AH7" s="15"/>
    </row>
    <row r="8" spans="1:34" ht="18">
      <c r="V8" s="10">
        <v>2</v>
      </c>
      <c r="W8" s="11" t="s">
        <v>10</v>
      </c>
      <c r="X8" s="16" t="s">
        <v>11</v>
      </c>
      <c r="Y8" s="13" t="s">
        <v>12</v>
      </c>
      <c r="Z8" s="14"/>
      <c r="AA8" s="14"/>
      <c r="AB8" s="14"/>
      <c r="AC8" s="14"/>
      <c r="AD8" s="13" t="s">
        <v>13</v>
      </c>
      <c r="AE8" s="14"/>
      <c r="AF8" s="14"/>
      <c r="AG8" s="14"/>
      <c r="AH8" s="15"/>
    </row>
    <row r="9" spans="1:34" ht="18">
      <c r="B9" s="17" t="s">
        <v>14</v>
      </c>
      <c r="C9" s="17"/>
      <c r="D9" s="17"/>
      <c r="E9" s="17"/>
      <c r="F9" s="17"/>
      <c r="G9" s="17"/>
      <c r="H9" s="17"/>
      <c r="I9" s="17"/>
      <c r="V9" s="10">
        <v>3</v>
      </c>
      <c r="W9" s="11" t="s">
        <v>15</v>
      </c>
      <c r="X9" s="18" t="s">
        <v>16</v>
      </c>
      <c r="Y9" s="13" t="s">
        <v>17</v>
      </c>
      <c r="Z9" s="14"/>
      <c r="AA9" s="14"/>
      <c r="AB9" s="14"/>
      <c r="AC9" s="14"/>
      <c r="AD9" s="13" t="s">
        <v>18</v>
      </c>
      <c r="AE9" s="14"/>
      <c r="AF9" s="14"/>
      <c r="AG9" s="14"/>
      <c r="AH9" s="15"/>
    </row>
    <row r="10" spans="1:34" ht="18.75" thickBot="1">
      <c r="B10" s="19"/>
      <c r="C10" s="19"/>
      <c r="D10" s="20"/>
      <c r="E10" s="19"/>
      <c r="F10" s="21"/>
      <c r="G10" s="21"/>
      <c r="H10" s="22"/>
      <c r="I10" s="22"/>
      <c r="V10" s="10">
        <v>4</v>
      </c>
      <c r="W10" s="11" t="s">
        <v>19</v>
      </c>
      <c r="X10" s="23" t="s">
        <v>20</v>
      </c>
      <c r="Y10" s="13" t="s">
        <v>21</v>
      </c>
      <c r="Z10" s="14"/>
      <c r="AA10" s="14"/>
      <c r="AB10" s="14"/>
      <c r="AC10" s="14"/>
      <c r="AD10" s="13" t="s">
        <v>22</v>
      </c>
      <c r="AE10" s="14"/>
      <c r="AF10" s="14"/>
      <c r="AG10" s="14"/>
      <c r="AH10" s="15"/>
    </row>
    <row r="11" spans="1:34" ht="18">
      <c r="B11" s="24"/>
      <c r="C11" s="25" t="s">
        <v>23</v>
      </c>
      <c r="D11" s="25" t="s">
        <v>24</v>
      </c>
      <c r="E11" s="25" t="s">
        <v>25</v>
      </c>
      <c r="F11" s="25" t="s">
        <v>26</v>
      </c>
      <c r="G11" s="25" t="s">
        <v>27</v>
      </c>
      <c r="H11" s="25" t="s">
        <v>28</v>
      </c>
      <c r="I11" s="26"/>
      <c r="V11" s="10">
        <v>5</v>
      </c>
      <c r="W11" s="11" t="s">
        <v>29</v>
      </c>
      <c r="X11" s="27" t="s">
        <v>30</v>
      </c>
      <c r="Y11" s="13" t="s">
        <v>31</v>
      </c>
      <c r="Z11" s="14"/>
      <c r="AA11" s="14"/>
      <c r="AB11" s="14"/>
      <c r="AC11" s="14"/>
      <c r="AD11" s="13" t="s">
        <v>32</v>
      </c>
      <c r="AE11" s="14"/>
      <c r="AF11" s="14"/>
      <c r="AG11" s="14"/>
      <c r="AH11" s="15"/>
    </row>
    <row r="12" spans="1:34" ht="18">
      <c r="B12" s="28" t="s">
        <v>33</v>
      </c>
      <c r="C12" s="29" t="s">
        <v>34</v>
      </c>
      <c r="D12" s="30" t="s">
        <v>35</v>
      </c>
      <c r="E12" s="30" t="s">
        <v>36</v>
      </c>
      <c r="F12" s="30" t="s">
        <v>37</v>
      </c>
      <c r="G12" s="30" t="s">
        <v>38</v>
      </c>
      <c r="H12" s="30" t="s">
        <v>39</v>
      </c>
      <c r="I12" s="31">
        <v>184.5</v>
      </c>
      <c r="V12" s="10">
        <v>6</v>
      </c>
      <c r="W12" s="11" t="s">
        <v>40</v>
      </c>
      <c r="X12" s="32" t="s">
        <v>41</v>
      </c>
      <c r="Y12" s="13" t="s">
        <v>42</v>
      </c>
      <c r="Z12" s="14"/>
      <c r="AA12" s="14"/>
      <c r="AB12" s="14"/>
      <c r="AC12" s="14"/>
      <c r="AD12" s="13" t="s">
        <v>43</v>
      </c>
      <c r="AE12" s="14"/>
      <c r="AF12" s="14"/>
      <c r="AG12" s="14"/>
      <c r="AH12" s="15"/>
    </row>
    <row r="13" spans="1:34" ht="18">
      <c r="B13" s="33" t="s">
        <v>44</v>
      </c>
      <c r="C13" s="34" t="s">
        <v>45</v>
      </c>
      <c r="D13" s="34" t="s">
        <v>35</v>
      </c>
      <c r="E13" s="34" t="s">
        <v>36</v>
      </c>
      <c r="F13" s="34" t="s">
        <v>46</v>
      </c>
      <c r="G13" s="34" t="s">
        <v>47</v>
      </c>
      <c r="H13" s="34" t="s">
        <v>39</v>
      </c>
      <c r="I13" s="35">
        <v>4.5</v>
      </c>
      <c r="V13" s="10">
        <v>7</v>
      </c>
      <c r="W13" s="11" t="s">
        <v>48</v>
      </c>
      <c r="X13" s="36" t="s">
        <v>49</v>
      </c>
      <c r="Y13" s="13" t="s">
        <v>50</v>
      </c>
      <c r="Z13" s="14"/>
      <c r="AA13" s="14"/>
      <c r="AB13" s="14"/>
      <c r="AC13" s="14"/>
      <c r="AD13" s="13" t="s">
        <v>51</v>
      </c>
      <c r="AE13" s="14"/>
      <c r="AF13" s="14"/>
      <c r="AG13" s="14"/>
      <c r="AH13" s="15"/>
    </row>
    <row r="14" spans="1:34" ht="18">
      <c r="B14" s="37" t="s">
        <v>52</v>
      </c>
      <c r="C14" s="30" t="s">
        <v>53</v>
      </c>
      <c r="D14" s="30" t="s">
        <v>35</v>
      </c>
      <c r="E14" s="30" t="s">
        <v>36</v>
      </c>
      <c r="F14" s="30" t="s">
        <v>54</v>
      </c>
      <c r="G14" s="30" t="s">
        <v>55</v>
      </c>
      <c r="H14" s="30" t="s">
        <v>39</v>
      </c>
      <c r="I14" s="38">
        <v>37.5</v>
      </c>
      <c r="V14" s="10">
        <v>8</v>
      </c>
      <c r="W14" s="11" t="s">
        <v>56</v>
      </c>
      <c r="X14" s="16" t="s">
        <v>57</v>
      </c>
      <c r="Y14" s="13" t="s">
        <v>58</v>
      </c>
      <c r="Z14" s="14"/>
      <c r="AA14" s="14"/>
      <c r="AB14" s="14"/>
      <c r="AC14" s="14"/>
      <c r="AD14" s="39" t="s">
        <v>59</v>
      </c>
      <c r="AE14" s="14"/>
      <c r="AF14" s="14"/>
      <c r="AG14" s="14"/>
      <c r="AH14" s="15"/>
    </row>
    <row r="15" spans="1:34" ht="18">
      <c r="A15"/>
      <c r="B15" s="33" t="s">
        <v>60</v>
      </c>
      <c r="C15" s="34" t="s">
        <v>61</v>
      </c>
      <c r="D15" s="34" t="s">
        <v>35</v>
      </c>
      <c r="E15" s="34" t="s">
        <v>36</v>
      </c>
      <c r="F15" s="34" t="s">
        <v>62</v>
      </c>
      <c r="G15" s="34" t="s">
        <v>63</v>
      </c>
      <c r="H15" s="34" t="s">
        <v>39</v>
      </c>
      <c r="I15" s="35">
        <v>230</v>
      </c>
      <c r="V15" s="10">
        <v>9</v>
      </c>
      <c r="W15" s="11" t="s">
        <v>64</v>
      </c>
      <c r="X15" s="40" t="s">
        <v>65</v>
      </c>
      <c r="Y15" s="13" t="s">
        <v>66</v>
      </c>
      <c r="Z15" s="14"/>
      <c r="AA15" s="14"/>
      <c r="AB15" s="14"/>
      <c r="AC15" s="14"/>
      <c r="AD15" s="13" t="s">
        <v>67</v>
      </c>
      <c r="AE15" s="14"/>
      <c r="AF15" s="14"/>
      <c r="AG15" s="14"/>
      <c r="AH15" s="15"/>
    </row>
    <row r="16" spans="1:34" ht="18">
      <c r="A16"/>
      <c r="B16" s="37" t="s">
        <v>68</v>
      </c>
      <c r="C16" s="30" t="s">
        <v>69</v>
      </c>
      <c r="D16" s="30" t="s">
        <v>70</v>
      </c>
      <c r="E16" s="30" t="s">
        <v>71</v>
      </c>
      <c r="F16" s="30" t="s">
        <v>72</v>
      </c>
      <c r="G16" s="30" t="s">
        <v>73</v>
      </c>
      <c r="H16" s="30" t="s">
        <v>39</v>
      </c>
      <c r="I16" s="31">
        <v>155</v>
      </c>
      <c r="V16" s="10">
        <v>10</v>
      </c>
      <c r="W16" s="11" t="s">
        <v>74</v>
      </c>
      <c r="X16" s="41" t="s">
        <v>75</v>
      </c>
      <c r="Y16" s="13" t="s">
        <v>76</v>
      </c>
      <c r="Z16" s="14"/>
      <c r="AA16" s="14"/>
      <c r="AB16" s="14"/>
      <c r="AC16" s="14"/>
      <c r="AD16" s="13" t="s">
        <v>77</v>
      </c>
      <c r="AE16" s="14"/>
      <c r="AF16" s="14"/>
      <c r="AG16" s="14"/>
      <c r="AH16" s="15"/>
    </row>
    <row r="17" spans="1:34" ht="18">
      <c r="A17"/>
      <c r="B17" s="33" t="s">
        <v>78</v>
      </c>
      <c r="C17" s="34" t="s">
        <v>79</v>
      </c>
      <c r="D17" s="34" t="s">
        <v>70</v>
      </c>
      <c r="E17" s="34" t="s">
        <v>71</v>
      </c>
      <c r="F17" s="34" t="s">
        <v>80</v>
      </c>
      <c r="G17" s="34" t="s">
        <v>81</v>
      </c>
      <c r="H17" s="34" t="s">
        <v>39</v>
      </c>
      <c r="I17" s="35">
        <v>75</v>
      </c>
      <c r="V17" s="10">
        <v>11</v>
      </c>
      <c r="W17" s="11" t="s">
        <v>80</v>
      </c>
      <c r="X17" s="42" t="s">
        <v>82</v>
      </c>
      <c r="Y17" s="13" t="s">
        <v>83</v>
      </c>
      <c r="Z17" s="14"/>
      <c r="AA17" s="14"/>
      <c r="AB17" s="14"/>
      <c r="AC17" s="14"/>
      <c r="AD17" s="13" t="s">
        <v>84</v>
      </c>
      <c r="AE17" s="14"/>
      <c r="AF17" s="14"/>
      <c r="AG17" s="14"/>
      <c r="AH17" s="15"/>
    </row>
    <row r="18" spans="1:34" ht="18">
      <c r="A18" s="2"/>
      <c r="B18" s="37"/>
      <c r="C18" s="30"/>
      <c r="D18" s="30"/>
      <c r="E18" s="30"/>
      <c r="F18" s="30"/>
      <c r="G18" s="30"/>
      <c r="H18" s="30"/>
      <c r="I18" s="31"/>
      <c r="V18" s="10">
        <v>12</v>
      </c>
      <c r="W18" s="11" t="s">
        <v>85</v>
      </c>
      <c r="X18" s="43" t="s">
        <v>38</v>
      </c>
      <c r="Y18" s="13" t="s">
        <v>86</v>
      </c>
      <c r="Z18" s="14"/>
      <c r="AA18" s="14"/>
      <c r="AB18" s="14"/>
      <c r="AC18" s="14"/>
      <c r="AD18" s="13" t="s">
        <v>87</v>
      </c>
      <c r="AE18" s="14"/>
      <c r="AF18" s="14"/>
      <c r="AG18" s="14"/>
      <c r="AH18" s="15"/>
    </row>
    <row r="19" spans="1:34" ht="18">
      <c r="A19" s="2"/>
      <c r="B19" s="37"/>
      <c r="C19" s="30"/>
      <c r="D19" s="30"/>
      <c r="E19" s="30"/>
      <c r="F19" s="30"/>
      <c r="G19" s="30"/>
      <c r="H19" s="30"/>
      <c r="I19" s="44"/>
      <c r="V19" s="10">
        <v>13</v>
      </c>
      <c r="W19" s="11" t="s">
        <v>88</v>
      </c>
      <c r="X19" s="16" t="s">
        <v>47</v>
      </c>
      <c r="Y19" s="13" t="s">
        <v>89</v>
      </c>
      <c r="Z19" s="14"/>
      <c r="AA19" s="14"/>
      <c r="AB19" s="14"/>
      <c r="AC19" s="14"/>
      <c r="AD19" s="13" t="s">
        <v>90</v>
      </c>
      <c r="AE19" s="14"/>
      <c r="AF19" s="14"/>
      <c r="AG19" s="14"/>
      <c r="AH19" s="15"/>
    </row>
    <row r="20" spans="1:34" ht="18.75" thickBot="1">
      <c r="A20" s="2"/>
      <c r="B20" s="45"/>
      <c r="C20" s="46"/>
      <c r="D20" s="46"/>
      <c r="E20" s="46"/>
      <c r="F20" s="46"/>
      <c r="G20" s="46"/>
      <c r="H20" s="46"/>
      <c r="I20" s="47"/>
      <c r="V20" s="10">
        <v>14</v>
      </c>
      <c r="W20" s="11" t="s">
        <v>91</v>
      </c>
      <c r="X20" s="42" t="s">
        <v>55</v>
      </c>
      <c r="Y20" s="13" t="s">
        <v>92</v>
      </c>
      <c r="Z20" s="14"/>
      <c r="AA20" s="14"/>
      <c r="AB20" s="14"/>
      <c r="AC20" s="14"/>
      <c r="AD20" s="13" t="s">
        <v>93</v>
      </c>
      <c r="AE20" s="14"/>
      <c r="AF20" s="14"/>
      <c r="AG20" s="14"/>
      <c r="AH20" s="15"/>
    </row>
    <row r="21" spans="1:34" ht="18">
      <c r="A21" s="2"/>
      <c r="V21" s="10">
        <v>15</v>
      </c>
      <c r="W21" s="11" t="s">
        <v>94</v>
      </c>
      <c r="X21" s="18" t="s">
        <v>63</v>
      </c>
      <c r="Y21" s="13" t="s">
        <v>95</v>
      </c>
      <c r="Z21" s="14"/>
      <c r="AA21" s="14"/>
      <c r="AB21" s="14"/>
      <c r="AC21" s="14"/>
      <c r="AD21" s="13" t="s">
        <v>96</v>
      </c>
      <c r="AE21" s="14"/>
      <c r="AF21" s="14"/>
      <c r="AG21" s="14"/>
      <c r="AH21" s="15"/>
    </row>
    <row r="22" spans="1:34" ht="18.75" thickBot="1">
      <c r="A22" s="2"/>
      <c r="V22" s="48">
        <v>16</v>
      </c>
      <c r="W22" s="49" t="s">
        <v>97</v>
      </c>
      <c r="X22" s="50" t="s">
        <v>98</v>
      </c>
      <c r="Y22" s="51" t="s">
        <v>99</v>
      </c>
      <c r="Z22" s="52"/>
      <c r="AA22" s="52"/>
      <c r="AB22" s="52"/>
      <c r="AC22" s="52"/>
      <c r="AD22" s="53" t="s">
        <v>100</v>
      </c>
      <c r="AE22" s="52"/>
      <c r="AF22" s="52"/>
      <c r="AG22" s="52"/>
      <c r="AH22" s="54"/>
    </row>
    <row r="23" spans="1:34">
      <c r="A23" s="2"/>
    </row>
    <row r="24" spans="1:34">
      <c r="A24"/>
    </row>
    <row r="33" spans="1:44">
      <c r="B33" s="2"/>
      <c r="C33" s="55"/>
      <c r="D33" s="55"/>
      <c r="E33" s="55"/>
      <c r="F33" s="56"/>
    </row>
    <row r="34" spans="1:44" s="59" customFormat="1" ht="15" thickBot="1">
      <c r="A34" s="57"/>
      <c r="B34" s="58" t="s">
        <v>101</v>
      </c>
      <c r="C34" s="58" t="s">
        <v>23</v>
      </c>
      <c r="D34" s="58" t="s">
        <v>24</v>
      </c>
      <c r="E34" s="58" t="s">
        <v>25</v>
      </c>
      <c r="F34" s="58" t="s">
        <v>26</v>
      </c>
      <c r="G34" s="58" t="s">
        <v>27</v>
      </c>
      <c r="H34" s="58" t="s">
        <v>28</v>
      </c>
    </row>
    <row r="35" spans="1:44" s="60" customFormat="1" ht="14.25">
      <c r="B35" s="61" t="s">
        <v>102</v>
      </c>
      <c r="C35" s="62" t="s">
        <v>103</v>
      </c>
      <c r="D35" s="63" t="s">
        <v>35</v>
      </c>
      <c r="E35" s="64" t="s">
        <v>104</v>
      </c>
      <c r="F35" s="62"/>
      <c r="G35" s="64" t="s">
        <v>105</v>
      </c>
      <c r="H35" s="64" t="s">
        <v>106</v>
      </c>
      <c r="I35" s="65" t="s">
        <v>107</v>
      </c>
      <c r="J35" s="65" t="s">
        <v>108</v>
      </c>
      <c r="K35" s="65" t="s">
        <v>109</v>
      </c>
      <c r="L35" s="65" t="s">
        <v>110</v>
      </c>
      <c r="M35" s="65" t="s">
        <v>111</v>
      </c>
      <c r="N35" s="65" t="s">
        <v>112</v>
      </c>
      <c r="O35" s="65" t="s">
        <v>113</v>
      </c>
      <c r="P35" s="65" t="s">
        <v>114</v>
      </c>
      <c r="Q35" s="65" t="s">
        <v>115</v>
      </c>
      <c r="R35" s="65" t="s">
        <v>116</v>
      </c>
      <c r="S35" s="65" t="s">
        <v>117</v>
      </c>
      <c r="T35" s="65" t="s">
        <v>118</v>
      </c>
      <c r="U35" s="65" t="s">
        <v>119</v>
      </c>
      <c r="V35" s="65" t="s">
        <v>120</v>
      </c>
      <c r="W35" s="65" t="s">
        <v>121</v>
      </c>
      <c r="X35" s="65" t="s">
        <v>122</v>
      </c>
      <c r="Y35" s="65" t="s">
        <v>123</v>
      </c>
      <c r="Z35" s="65" t="s">
        <v>124</v>
      </c>
      <c r="AA35" s="65" t="s">
        <v>125</v>
      </c>
      <c r="AB35" s="65" t="s">
        <v>126</v>
      </c>
      <c r="AC35" s="65" t="s">
        <v>127</v>
      </c>
      <c r="AD35" s="65" t="s">
        <v>128</v>
      </c>
      <c r="AE35" s="65" t="s">
        <v>129</v>
      </c>
      <c r="AF35" s="65" t="s">
        <v>130</v>
      </c>
      <c r="AG35" s="65" t="s">
        <v>131</v>
      </c>
      <c r="AH35" s="65" t="s">
        <v>132</v>
      </c>
      <c r="AI35" s="65" t="s">
        <v>133</v>
      </c>
      <c r="AJ35" s="65" t="s">
        <v>134</v>
      </c>
      <c r="AK35" s="65" t="s">
        <v>135</v>
      </c>
      <c r="AL35" s="65" t="s">
        <v>136</v>
      </c>
      <c r="AM35" s="65" t="s">
        <v>137</v>
      </c>
      <c r="AN35" s="66" t="s">
        <v>138</v>
      </c>
    </row>
    <row r="36" spans="1:44" s="67" customFormat="1" ht="14.25">
      <c r="B36" s="68" t="s">
        <v>139</v>
      </c>
      <c r="C36" s="29" t="s">
        <v>140</v>
      </c>
      <c r="D36" s="30" t="s">
        <v>35</v>
      </c>
      <c r="E36" s="30" t="s">
        <v>141</v>
      </c>
      <c r="F36" s="30" t="s">
        <v>142</v>
      </c>
      <c r="G36" s="30" t="s">
        <v>143</v>
      </c>
      <c r="H36" s="69" t="s">
        <v>144</v>
      </c>
      <c r="I36" s="70">
        <v>1</v>
      </c>
      <c r="J36" s="70">
        <v>1</v>
      </c>
      <c r="K36" s="70">
        <v>1</v>
      </c>
      <c r="L36" s="70">
        <v>1</v>
      </c>
      <c r="M36" s="70">
        <v>1</v>
      </c>
      <c r="N36" s="70">
        <v>1</v>
      </c>
      <c r="O36" s="70">
        <v>2</v>
      </c>
      <c r="P36" s="70">
        <v>2</v>
      </c>
      <c r="Q36" s="70">
        <v>3</v>
      </c>
      <c r="R36" s="70">
        <v>3</v>
      </c>
      <c r="S36" s="70">
        <v>6</v>
      </c>
      <c r="T36" s="70">
        <v>6</v>
      </c>
      <c r="U36" s="70">
        <v>6</v>
      </c>
      <c r="V36" s="70">
        <v>6</v>
      </c>
      <c r="W36" s="70">
        <v>6</v>
      </c>
      <c r="X36" s="70">
        <v>6</v>
      </c>
      <c r="Y36" s="70">
        <v>2</v>
      </c>
      <c r="Z36" s="70">
        <v>2</v>
      </c>
      <c r="AA36" s="70">
        <v>6</v>
      </c>
      <c r="AB36" s="70">
        <v>6</v>
      </c>
      <c r="AC36" s="70">
        <v>3</v>
      </c>
      <c r="AD36" s="70">
        <v>3</v>
      </c>
      <c r="AE36" s="70">
        <v>2</v>
      </c>
      <c r="AF36" s="70">
        <v>2</v>
      </c>
      <c r="AG36" s="70">
        <v>3</v>
      </c>
      <c r="AH36" s="70">
        <v>3</v>
      </c>
      <c r="AI36" s="70">
        <v>3</v>
      </c>
      <c r="AJ36" s="70">
        <v>3</v>
      </c>
      <c r="AK36" s="70">
        <v>4</v>
      </c>
      <c r="AL36" s="70">
        <v>4</v>
      </c>
      <c r="AM36" s="70"/>
      <c r="AN36" s="71"/>
    </row>
    <row r="37" spans="1:44" s="76" customFormat="1" ht="14.25">
      <c r="A37" s="60"/>
      <c r="B37" s="68" t="s">
        <v>145</v>
      </c>
      <c r="C37" s="72" t="s">
        <v>146</v>
      </c>
      <c r="D37" s="69" t="s">
        <v>35</v>
      </c>
      <c r="E37" s="69" t="s">
        <v>141</v>
      </c>
      <c r="F37" s="69" t="s">
        <v>147</v>
      </c>
      <c r="G37" s="73" t="s">
        <v>148</v>
      </c>
      <c r="H37" s="69" t="s">
        <v>149</v>
      </c>
      <c r="I37" s="74">
        <v>46</v>
      </c>
      <c r="J37" s="74">
        <v>46</v>
      </c>
      <c r="K37" s="74">
        <v>45</v>
      </c>
      <c r="L37" s="74">
        <v>45</v>
      </c>
      <c r="M37" s="74">
        <v>44</v>
      </c>
      <c r="N37" s="74">
        <v>44</v>
      </c>
      <c r="O37" s="69">
        <v>107</v>
      </c>
      <c r="P37" s="69">
        <v>107</v>
      </c>
      <c r="Q37" s="69">
        <v>185</v>
      </c>
      <c r="R37" s="69">
        <v>185</v>
      </c>
      <c r="S37" s="69">
        <v>320</v>
      </c>
      <c r="T37" s="69">
        <v>320</v>
      </c>
      <c r="U37" s="69">
        <v>340</v>
      </c>
      <c r="V37" s="69">
        <v>340</v>
      </c>
      <c r="W37" s="69">
        <v>287</v>
      </c>
      <c r="X37" s="69">
        <v>287</v>
      </c>
      <c r="Y37" s="69">
        <v>145</v>
      </c>
      <c r="Z37" s="69">
        <v>145</v>
      </c>
      <c r="AA37" s="69">
        <v>298</v>
      </c>
      <c r="AB37" s="69">
        <v>298</v>
      </c>
      <c r="AC37" s="69">
        <v>167</v>
      </c>
      <c r="AD37" s="69">
        <v>167</v>
      </c>
      <c r="AE37" s="69">
        <v>114</v>
      </c>
      <c r="AF37" s="69">
        <v>114</v>
      </c>
      <c r="AG37" s="69">
        <v>138</v>
      </c>
      <c r="AH37" s="69">
        <v>138</v>
      </c>
      <c r="AI37" s="69">
        <v>149</v>
      </c>
      <c r="AJ37" s="69">
        <v>149</v>
      </c>
      <c r="AK37" s="69">
        <v>193</v>
      </c>
      <c r="AL37" s="69">
        <v>193</v>
      </c>
      <c r="AM37" s="69"/>
      <c r="AN37" s="75"/>
      <c r="AQ37" s="77"/>
      <c r="AR37" s="77"/>
    </row>
    <row r="38" spans="1:44" s="76" customFormat="1" ht="14.25">
      <c r="A38" s="60"/>
      <c r="B38" s="68" t="s">
        <v>150</v>
      </c>
      <c r="C38" s="72" t="s">
        <v>151</v>
      </c>
      <c r="D38" s="69" t="s">
        <v>35</v>
      </c>
      <c r="E38" s="69" t="s">
        <v>141</v>
      </c>
      <c r="F38" s="69" t="s">
        <v>152</v>
      </c>
      <c r="G38" s="73"/>
      <c r="H38" s="69" t="s">
        <v>149</v>
      </c>
      <c r="I38" s="74"/>
      <c r="J38" s="74"/>
      <c r="K38" s="74"/>
      <c r="L38" s="74"/>
      <c r="M38" s="74"/>
      <c r="N38" s="74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78"/>
      <c r="AQ38" s="60"/>
      <c r="AR38" s="60"/>
    </row>
    <row r="39" spans="1:44" s="76" customFormat="1" ht="14.25">
      <c r="A39" s="60"/>
      <c r="B39" s="68" t="s">
        <v>153</v>
      </c>
      <c r="C39" s="72" t="s">
        <v>154</v>
      </c>
      <c r="D39" s="69" t="s">
        <v>155</v>
      </c>
      <c r="E39" s="69" t="s">
        <v>156</v>
      </c>
      <c r="F39" s="69" t="s">
        <v>143</v>
      </c>
      <c r="G39" s="73"/>
      <c r="H39" s="69"/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  <c r="AA39" s="74">
        <v>0</v>
      </c>
      <c r="AB39" s="74">
        <v>0</v>
      </c>
      <c r="AC39" s="74">
        <v>0</v>
      </c>
      <c r="AD39" s="74">
        <v>0</v>
      </c>
      <c r="AE39" s="74">
        <v>0</v>
      </c>
      <c r="AF39" s="74">
        <v>0</v>
      </c>
      <c r="AG39" s="74">
        <v>0</v>
      </c>
      <c r="AH39" s="74">
        <v>0</v>
      </c>
      <c r="AI39" s="74">
        <v>0</v>
      </c>
      <c r="AJ39" s="74">
        <v>0</v>
      </c>
      <c r="AK39" s="74">
        <v>0</v>
      </c>
      <c r="AL39" s="74">
        <v>0</v>
      </c>
      <c r="AM39" s="74">
        <v>0</v>
      </c>
      <c r="AN39" s="74">
        <v>0</v>
      </c>
      <c r="AQ39" s="60"/>
      <c r="AR39" s="60"/>
    </row>
    <row r="40" spans="1:44" s="76" customFormat="1" ht="14.25">
      <c r="A40" s="60"/>
      <c r="B40" s="68" t="s">
        <v>157</v>
      </c>
      <c r="C40" s="79" t="s">
        <v>158</v>
      </c>
      <c r="D40" s="69" t="s">
        <v>155</v>
      </c>
      <c r="E40" s="60" t="s">
        <v>159</v>
      </c>
      <c r="F40" s="69" t="s">
        <v>6</v>
      </c>
      <c r="G40" s="80" t="s">
        <v>160</v>
      </c>
      <c r="H40" s="69" t="s">
        <v>39</v>
      </c>
      <c r="I40" s="74">
        <v>75</v>
      </c>
      <c r="J40" s="74">
        <v>76</v>
      </c>
      <c r="K40" s="74">
        <v>75</v>
      </c>
      <c r="L40" s="74">
        <v>76</v>
      </c>
      <c r="M40" s="74">
        <v>77</v>
      </c>
      <c r="N40" s="74">
        <v>77</v>
      </c>
      <c r="O40" s="69">
        <v>77</v>
      </c>
      <c r="P40" s="69">
        <v>76</v>
      </c>
      <c r="Q40" s="69">
        <v>76</v>
      </c>
      <c r="R40" s="69">
        <v>77</v>
      </c>
      <c r="S40" s="69">
        <v>82</v>
      </c>
      <c r="T40" s="69">
        <v>83</v>
      </c>
      <c r="U40" s="69">
        <v>83</v>
      </c>
      <c r="V40" s="69">
        <v>84</v>
      </c>
      <c r="W40" s="69">
        <v>84</v>
      </c>
      <c r="X40" s="69">
        <v>82</v>
      </c>
      <c r="Y40" s="69">
        <v>80</v>
      </c>
      <c r="Z40" s="69">
        <v>80</v>
      </c>
      <c r="AA40" s="69">
        <v>80</v>
      </c>
      <c r="AB40" s="69">
        <v>80</v>
      </c>
      <c r="AC40" s="69">
        <v>90</v>
      </c>
      <c r="AD40" s="69">
        <v>90</v>
      </c>
      <c r="AE40" s="69">
        <v>75</v>
      </c>
      <c r="AF40" s="69">
        <v>77</v>
      </c>
      <c r="AG40" s="69">
        <v>80</v>
      </c>
      <c r="AH40" s="69">
        <v>81</v>
      </c>
      <c r="AI40" s="69">
        <v>83</v>
      </c>
      <c r="AJ40" s="69">
        <v>85</v>
      </c>
      <c r="AK40" s="69">
        <v>78</v>
      </c>
      <c r="AL40" s="69">
        <v>79</v>
      </c>
      <c r="AM40" s="69">
        <v>82</v>
      </c>
      <c r="AN40" s="75">
        <v>80</v>
      </c>
    </row>
    <row r="41" spans="1:44" s="76" customFormat="1" ht="14.25">
      <c r="A41" s="60"/>
      <c r="B41" s="81" t="s">
        <v>161</v>
      </c>
      <c r="C41" s="82" t="s">
        <v>162</v>
      </c>
      <c r="D41" s="83" t="s">
        <v>155</v>
      </c>
      <c r="E41" s="84" t="s">
        <v>159</v>
      </c>
      <c r="F41" s="84" t="s">
        <v>10</v>
      </c>
      <c r="G41" s="85" t="s">
        <v>163</v>
      </c>
      <c r="H41" s="84" t="s">
        <v>39</v>
      </c>
      <c r="I41" s="74">
        <v>76</v>
      </c>
      <c r="J41" s="74">
        <v>75</v>
      </c>
      <c r="K41" s="74">
        <v>75</v>
      </c>
      <c r="L41" s="74">
        <v>75</v>
      </c>
      <c r="M41" s="74">
        <v>76</v>
      </c>
      <c r="N41" s="74">
        <v>76</v>
      </c>
      <c r="O41" s="69">
        <v>79</v>
      </c>
      <c r="P41" s="69">
        <v>76</v>
      </c>
      <c r="Q41" s="69">
        <v>81</v>
      </c>
      <c r="R41" s="69">
        <v>78</v>
      </c>
      <c r="S41" s="69">
        <v>80</v>
      </c>
      <c r="T41" s="69">
        <v>80</v>
      </c>
      <c r="U41" s="69">
        <v>85</v>
      </c>
      <c r="V41" s="69">
        <v>85</v>
      </c>
      <c r="W41" s="69">
        <v>81</v>
      </c>
      <c r="X41" s="69">
        <v>80</v>
      </c>
      <c r="Y41" s="69">
        <v>78</v>
      </c>
      <c r="Z41" s="69">
        <v>78</v>
      </c>
      <c r="AA41" s="69">
        <v>85</v>
      </c>
      <c r="AB41" s="69">
        <v>75</v>
      </c>
      <c r="AC41" s="69">
        <v>80</v>
      </c>
      <c r="AD41" s="69">
        <v>76</v>
      </c>
      <c r="AE41" s="69">
        <v>78</v>
      </c>
      <c r="AF41" s="69">
        <v>77</v>
      </c>
      <c r="AG41" s="69">
        <v>85</v>
      </c>
      <c r="AH41" s="69">
        <v>80</v>
      </c>
      <c r="AI41" s="69">
        <v>85</v>
      </c>
      <c r="AJ41" s="69">
        <v>85</v>
      </c>
      <c r="AK41" s="69">
        <v>78</v>
      </c>
      <c r="AL41" s="69">
        <v>82</v>
      </c>
      <c r="AM41" s="69">
        <v>84</v>
      </c>
      <c r="AN41" s="75">
        <v>79</v>
      </c>
    </row>
    <row r="42" spans="1:44" s="76" customFormat="1" ht="14.25">
      <c r="A42" s="60"/>
      <c r="B42" s="68" t="s">
        <v>164</v>
      </c>
      <c r="C42" s="72" t="s">
        <v>165</v>
      </c>
      <c r="D42" s="69" t="s">
        <v>155</v>
      </c>
      <c r="E42" s="69" t="s">
        <v>159</v>
      </c>
      <c r="F42" s="69" t="s">
        <v>166</v>
      </c>
      <c r="G42" s="73" t="s">
        <v>167</v>
      </c>
      <c r="H42" s="69" t="s">
        <v>39</v>
      </c>
      <c r="I42" s="74">
        <v>7</v>
      </c>
      <c r="J42" s="74">
        <v>4</v>
      </c>
      <c r="K42" s="74">
        <v>7</v>
      </c>
      <c r="L42" s="74">
        <v>6</v>
      </c>
      <c r="M42" s="74">
        <v>7</v>
      </c>
      <c r="N42" s="74">
        <v>10</v>
      </c>
      <c r="O42" s="69">
        <v>6</v>
      </c>
      <c r="P42" s="69">
        <v>13</v>
      </c>
      <c r="Q42" s="69">
        <v>10</v>
      </c>
      <c r="R42" s="69">
        <v>7</v>
      </c>
      <c r="S42" s="69">
        <v>10</v>
      </c>
      <c r="T42" s="69">
        <v>8</v>
      </c>
      <c r="U42" s="69">
        <v>4</v>
      </c>
      <c r="V42" s="69">
        <v>5</v>
      </c>
      <c r="W42" s="69">
        <v>10</v>
      </c>
      <c r="X42" s="69">
        <v>5</v>
      </c>
      <c r="Y42" s="69">
        <v>15</v>
      </c>
      <c r="Z42" s="69">
        <v>10</v>
      </c>
      <c r="AA42" s="69">
        <v>10</v>
      </c>
      <c r="AB42" s="69">
        <v>10</v>
      </c>
      <c r="AC42" s="69">
        <v>36</v>
      </c>
      <c r="AD42" s="69">
        <v>18</v>
      </c>
      <c r="AE42" s="69">
        <v>10</v>
      </c>
      <c r="AF42" s="69">
        <v>10</v>
      </c>
      <c r="AG42" s="69">
        <v>27</v>
      </c>
      <c r="AH42" s="69">
        <v>16</v>
      </c>
      <c r="AI42" s="69">
        <v>20</v>
      </c>
      <c r="AJ42" s="69">
        <v>20</v>
      </c>
      <c r="AK42" s="69">
        <v>8</v>
      </c>
      <c r="AL42" s="69">
        <v>5</v>
      </c>
      <c r="AM42" s="69">
        <v>0</v>
      </c>
      <c r="AN42" s="75">
        <v>0</v>
      </c>
    </row>
    <row r="43" spans="1:44" s="76" customFormat="1" ht="15" customHeight="1">
      <c r="A43" s="60"/>
      <c r="B43" s="81" t="s">
        <v>168</v>
      </c>
      <c r="C43" s="82" t="s">
        <v>169</v>
      </c>
      <c r="D43" s="84" t="s">
        <v>155</v>
      </c>
      <c r="E43" s="84" t="s">
        <v>159</v>
      </c>
      <c r="F43" s="84" t="s">
        <v>170</v>
      </c>
      <c r="G43" s="85" t="s">
        <v>171</v>
      </c>
      <c r="H43" s="84" t="s">
        <v>39</v>
      </c>
      <c r="I43" s="74">
        <v>0</v>
      </c>
      <c r="J43" s="74">
        <v>2</v>
      </c>
      <c r="K43" s="74">
        <v>0</v>
      </c>
      <c r="L43" s="74">
        <v>0</v>
      </c>
      <c r="M43" s="74">
        <v>0</v>
      </c>
      <c r="N43" s="74">
        <v>1</v>
      </c>
      <c r="O43" s="69">
        <v>1</v>
      </c>
      <c r="P43" s="69">
        <v>1</v>
      </c>
      <c r="Q43" s="69">
        <v>0</v>
      </c>
      <c r="R43" s="69">
        <v>3</v>
      </c>
      <c r="S43" s="69">
        <v>5</v>
      </c>
      <c r="T43" s="69">
        <v>7</v>
      </c>
      <c r="U43" s="69">
        <v>3</v>
      </c>
      <c r="V43" s="69">
        <v>5</v>
      </c>
      <c r="W43" s="69">
        <v>0</v>
      </c>
      <c r="X43" s="69">
        <v>5</v>
      </c>
      <c r="Y43" s="69">
        <v>3</v>
      </c>
      <c r="Z43" s="69">
        <v>0</v>
      </c>
      <c r="AA43" s="69">
        <v>5</v>
      </c>
      <c r="AB43" s="69">
        <v>12</v>
      </c>
      <c r="AC43" s="69">
        <v>14</v>
      </c>
      <c r="AD43" s="69">
        <v>31</v>
      </c>
      <c r="AE43" s="69">
        <v>3</v>
      </c>
      <c r="AF43" s="69">
        <v>10</v>
      </c>
      <c r="AG43" s="69">
        <v>6</v>
      </c>
      <c r="AH43" s="69">
        <v>12</v>
      </c>
      <c r="AI43" s="69">
        <v>4</v>
      </c>
      <c r="AJ43" s="69">
        <v>14</v>
      </c>
      <c r="AK43" s="69">
        <v>0</v>
      </c>
      <c r="AL43" s="69">
        <v>0</v>
      </c>
      <c r="AM43" s="69">
        <v>5</v>
      </c>
      <c r="AN43" s="75">
        <v>0</v>
      </c>
    </row>
    <row r="44" spans="1:44" s="76" customFormat="1" ht="14.25">
      <c r="A44" s="60"/>
      <c r="B44" s="68" t="s">
        <v>172</v>
      </c>
      <c r="C44" s="72" t="s">
        <v>173</v>
      </c>
      <c r="D44" s="69" t="s">
        <v>155</v>
      </c>
      <c r="E44" s="69" t="s">
        <v>159</v>
      </c>
      <c r="F44" s="69" t="s">
        <v>174</v>
      </c>
      <c r="G44" s="73" t="s">
        <v>175</v>
      </c>
      <c r="H44" s="69" t="s">
        <v>176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75">
        <v>0</v>
      </c>
    </row>
    <row r="45" spans="1:44" s="76" customFormat="1" ht="14.25">
      <c r="A45" s="60"/>
      <c r="B45" s="81" t="s">
        <v>177</v>
      </c>
      <c r="C45" s="82" t="s">
        <v>178</v>
      </c>
      <c r="D45" s="84" t="s">
        <v>155</v>
      </c>
      <c r="E45" s="84" t="s">
        <v>159</v>
      </c>
      <c r="F45" s="84" t="s">
        <v>179</v>
      </c>
      <c r="G45" s="85" t="s">
        <v>180</v>
      </c>
      <c r="H45" s="84" t="s">
        <v>39</v>
      </c>
      <c r="I45" s="74">
        <v>220</v>
      </c>
      <c r="J45" s="74">
        <v>221</v>
      </c>
      <c r="K45" s="74">
        <v>219</v>
      </c>
      <c r="L45" s="74">
        <v>218</v>
      </c>
      <c r="M45" s="74">
        <v>220</v>
      </c>
      <c r="N45" s="74">
        <v>220</v>
      </c>
      <c r="O45" s="69">
        <v>232</v>
      </c>
      <c r="P45" s="69">
        <v>221</v>
      </c>
      <c r="Q45" s="69">
        <v>221</v>
      </c>
      <c r="R45" s="69">
        <v>220</v>
      </c>
      <c r="S45" s="69">
        <v>222</v>
      </c>
      <c r="T45" s="69">
        <v>230</v>
      </c>
      <c r="U45" s="69">
        <v>224</v>
      </c>
      <c r="V45" s="69">
        <v>225</v>
      </c>
      <c r="W45" s="69">
        <v>222</v>
      </c>
      <c r="X45" s="69">
        <v>229</v>
      </c>
      <c r="Y45" s="69">
        <v>223</v>
      </c>
      <c r="Z45" s="69">
        <v>220</v>
      </c>
      <c r="AA45" s="69">
        <v>235</v>
      </c>
      <c r="AB45" s="69">
        <v>230</v>
      </c>
      <c r="AC45" s="69">
        <v>234</v>
      </c>
      <c r="AD45" s="69">
        <v>230</v>
      </c>
      <c r="AE45" s="69">
        <v>218</v>
      </c>
      <c r="AF45" s="69">
        <v>227</v>
      </c>
      <c r="AG45" s="69">
        <v>225</v>
      </c>
      <c r="AH45" s="69">
        <v>235</v>
      </c>
      <c r="AI45" s="69">
        <v>233</v>
      </c>
      <c r="AJ45" s="69">
        <v>221</v>
      </c>
      <c r="AK45" s="69">
        <v>220</v>
      </c>
      <c r="AL45" s="69">
        <v>223</v>
      </c>
      <c r="AM45" s="69">
        <v>230</v>
      </c>
      <c r="AN45" s="75">
        <v>222</v>
      </c>
    </row>
    <row r="46" spans="1:44" s="76" customFormat="1" ht="14.25">
      <c r="B46" s="68" t="s">
        <v>181</v>
      </c>
      <c r="C46" s="72" t="s">
        <v>182</v>
      </c>
      <c r="D46" s="69" t="s">
        <v>70</v>
      </c>
      <c r="E46" s="69" t="s">
        <v>71</v>
      </c>
      <c r="F46" s="69" t="s">
        <v>183</v>
      </c>
      <c r="G46" s="73" t="s">
        <v>184</v>
      </c>
      <c r="H46" s="69" t="s">
        <v>39</v>
      </c>
      <c r="I46" s="74">
        <f>I41+I42+I43</f>
        <v>83</v>
      </c>
      <c r="J46" s="74">
        <f t="shared" ref="J46:AL46" si="0">J41+J42+J43</f>
        <v>81</v>
      </c>
      <c r="K46" s="74">
        <f t="shared" si="0"/>
        <v>82</v>
      </c>
      <c r="L46" s="74">
        <f t="shared" si="0"/>
        <v>81</v>
      </c>
      <c r="M46" s="74">
        <f t="shared" si="0"/>
        <v>83</v>
      </c>
      <c r="N46" s="74">
        <f t="shared" si="0"/>
        <v>87</v>
      </c>
      <c r="O46" s="74">
        <f>O41+O42+O43</f>
        <v>86</v>
      </c>
      <c r="P46" s="74">
        <f>P41+P42+P43</f>
        <v>90</v>
      </c>
      <c r="Q46" s="74">
        <f t="shared" si="0"/>
        <v>91</v>
      </c>
      <c r="R46" s="74">
        <f t="shared" si="0"/>
        <v>88</v>
      </c>
      <c r="S46" s="74">
        <f t="shared" si="0"/>
        <v>95</v>
      </c>
      <c r="T46" s="74">
        <f t="shared" si="0"/>
        <v>95</v>
      </c>
      <c r="U46" s="74">
        <f t="shared" si="0"/>
        <v>92</v>
      </c>
      <c r="V46" s="74">
        <f t="shared" si="0"/>
        <v>95</v>
      </c>
      <c r="W46" s="74">
        <f t="shared" si="0"/>
        <v>91</v>
      </c>
      <c r="X46" s="74">
        <f t="shared" si="0"/>
        <v>90</v>
      </c>
      <c r="Y46" s="74">
        <f t="shared" si="0"/>
        <v>96</v>
      </c>
      <c r="Z46" s="74">
        <f t="shared" si="0"/>
        <v>88</v>
      </c>
      <c r="AA46" s="74">
        <f t="shared" si="0"/>
        <v>100</v>
      </c>
      <c r="AB46" s="74">
        <f t="shared" si="0"/>
        <v>97</v>
      </c>
      <c r="AC46" s="74">
        <f t="shared" si="0"/>
        <v>130</v>
      </c>
      <c r="AD46" s="74">
        <f t="shared" si="0"/>
        <v>125</v>
      </c>
      <c r="AE46" s="74">
        <f t="shared" si="0"/>
        <v>91</v>
      </c>
      <c r="AF46" s="74">
        <f t="shared" si="0"/>
        <v>97</v>
      </c>
      <c r="AG46" s="74">
        <f t="shared" si="0"/>
        <v>118</v>
      </c>
      <c r="AH46" s="74">
        <f t="shared" si="0"/>
        <v>108</v>
      </c>
      <c r="AI46" s="74">
        <f t="shared" si="0"/>
        <v>109</v>
      </c>
      <c r="AJ46" s="74">
        <f t="shared" si="0"/>
        <v>119</v>
      </c>
      <c r="AK46" s="74">
        <f t="shared" si="0"/>
        <v>86</v>
      </c>
      <c r="AL46" s="74">
        <f t="shared" si="0"/>
        <v>87</v>
      </c>
      <c r="AM46" s="74"/>
      <c r="AN46" s="86"/>
    </row>
    <row r="47" spans="1:44" s="76" customFormat="1" ht="14.25">
      <c r="A47" s="60"/>
      <c r="B47" s="81" t="s">
        <v>185</v>
      </c>
      <c r="C47" s="82" t="s">
        <v>186</v>
      </c>
      <c r="D47" s="84" t="s">
        <v>155</v>
      </c>
      <c r="E47" s="84" t="s">
        <v>187</v>
      </c>
      <c r="F47" s="84" t="s">
        <v>64</v>
      </c>
      <c r="G47" s="85" t="s">
        <v>188</v>
      </c>
      <c r="H47" s="84" t="s">
        <v>39</v>
      </c>
      <c r="I47" s="74">
        <v>79</v>
      </c>
      <c r="J47" s="74">
        <v>77</v>
      </c>
      <c r="K47" s="74">
        <v>76</v>
      </c>
      <c r="L47" s="74">
        <v>75</v>
      </c>
      <c r="M47" s="74">
        <v>76</v>
      </c>
      <c r="N47" s="74">
        <v>76</v>
      </c>
      <c r="O47" s="69">
        <v>82</v>
      </c>
      <c r="P47" s="69">
        <v>80</v>
      </c>
      <c r="Q47" s="69">
        <v>82</v>
      </c>
      <c r="R47" s="69">
        <v>76</v>
      </c>
      <c r="S47" s="69">
        <v>82</v>
      </c>
      <c r="T47" s="69">
        <v>76</v>
      </c>
      <c r="U47" s="69">
        <v>76</v>
      </c>
      <c r="V47" s="69">
        <v>76</v>
      </c>
      <c r="W47" s="69">
        <v>76</v>
      </c>
      <c r="X47" s="69">
        <v>76</v>
      </c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75"/>
    </row>
    <row r="48" spans="1:44" s="76" customFormat="1" ht="14.25">
      <c r="A48" s="60"/>
      <c r="B48" s="68" t="s">
        <v>189</v>
      </c>
      <c r="C48" s="72" t="s">
        <v>190</v>
      </c>
      <c r="D48" s="69" t="s">
        <v>155</v>
      </c>
      <c r="E48" s="69" t="s">
        <v>187</v>
      </c>
      <c r="F48" s="69" t="s">
        <v>191</v>
      </c>
      <c r="G48" s="80" t="s">
        <v>192</v>
      </c>
      <c r="H48" s="69" t="s">
        <v>39</v>
      </c>
      <c r="I48" s="74">
        <v>29</v>
      </c>
      <c r="J48" s="74">
        <v>28</v>
      </c>
      <c r="K48" s="74">
        <v>30</v>
      </c>
      <c r="L48" s="74">
        <v>28</v>
      </c>
      <c r="M48" s="74">
        <v>25</v>
      </c>
      <c r="N48" s="74">
        <v>25</v>
      </c>
      <c r="O48" s="69">
        <v>26</v>
      </c>
      <c r="P48" s="69">
        <v>27</v>
      </c>
      <c r="Q48" s="69">
        <v>35</v>
      </c>
      <c r="R48" s="69">
        <v>28</v>
      </c>
      <c r="S48" s="69">
        <v>35</v>
      </c>
      <c r="T48" s="69">
        <v>28</v>
      </c>
      <c r="U48" s="69">
        <v>28</v>
      </c>
      <c r="V48" s="69">
        <v>28</v>
      </c>
      <c r="W48" s="69">
        <v>28</v>
      </c>
      <c r="X48" s="69">
        <v>28</v>
      </c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8"/>
    </row>
    <row r="49" spans="1:40" s="76" customFormat="1" ht="15">
      <c r="A49" s="60"/>
      <c r="B49" s="81" t="s">
        <v>193</v>
      </c>
      <c r="C49" s="82" t="s">
        <v>194</v>
      </c>
      <c r="D49" s="84" t="s">
        <v>70</v>
      </c>
      <c r="E49" s="84" t="s">
        <v>195</v>
      </c>
      <c r="F49" s="84" t="s">
        <v>196</v>
      </c>
      <c r="G49" s="84" t="s">
        <v>197</v>
      </c>
      <c r="H49" s="84" t="s">
        <v>198</v>
      </c>
      <c r="I49" s="74"/>
      <c r="J49" s="74"/>
      <c r="K49" s="74"/>
      <c r="L49" s="74"/>
      <c r="M49" s="74"/>
      <c r="N49" s="74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8"/>
    </row>
    <row r="50" spans="1:40" s="76" customFormat="1" ht="15">
      <c r="A50" s="60"/>
      <c r="B50" s="68" t="s">
        <v>199</v>
      </c>
      <c r="C50" s="72" t="s">
        <v>200</v>
      </c>
      <c r="D50" s="69" t="s">
        <v>70</v>
      </c>
      <c r="E50" s="69" t="s">
        <v>71</v>
      </c>
      <c r="F50" s="69" t="s">
        <v>201</v>
      </c>
      <c r="G50" s="69" t="s">
        <v>202</v>
      </c>
      <c r="H50" s="69" t="s">
        <v>198</v>
      </c>
      <c r="I50" s="74"/>
      <c r="J50" s="74"/>
      <c r="K50" s="74"/>
      <c r="L50" s="74"/>
      <c r="M50" s="74"/>
      <c r="N50" s="74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8"/>
    </row>
    <row r="51" spans="1:40" s="76" customFormat="1" ht="14.25">
      <c r="A51" s="60"/>
      <c r="B51" s="81" t="s">
        <v>203</v>
      </c>
      <c r="C51" s="82" t="s">
        <v>204</v>
      </c>
      <c r="D51" s="84" t="s">
        <v>70</v>
      </c>
      <c r="E51" s="84" t="s">
        <v>195</v>
      </c>
      <c r="F51" s="84" t="s">
        <v>205</v>
      </c>
      <c r="G51" s="84" t="s">
        <v>206</v>
      </c>
      <c r="H51" s="84" t="s">
        <v>198</v>
      </c>
      <c r="I51" s="74"/>
      <c r="J51" s="74"/>
      <c r="K51" s="74"/>
      <c r="L51" s="74"/>
      <c r="M51" s="74"/>
      <c r="N51" s="74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8"/>
    </row>
    <row r="52" spans="1:40" s="76" customFormat="1" ht="14.25">
      <c r="A52" s="60"/>
      <c r="B52" s="68" t="s">
        <v>207</v>
      </c>
      <c r="C52" s="72" t="s">
        <v>208</v>
      </c>
      <c r="D52" s="69" t="s">
        <v>70</v>
      </c>
      <c r="E52" s="69" t="s">
        <v>71</v>
      </c>
      <c r="F52" s="69" t="s">
        <v>209</v>
      </c>
      <c r="G52" s="69" t="s">
        <v>210</v>
      </c>
      <c r="H52" s="69" t="s">
        <v>211</v>
      </c>
      <c r="I52" s="74"/>
      <c r="J52" s="74"/>
      <c r="K52" s="74"/>
      <c r="L52" s="74"/>
      <c r="M52" s="74"/>
      <c r="N52" s="74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8"/>
    </row>
    <row r="53" spans="1:40" s="76" customFormat="1" ht="14.25">
      <c r="A53" s="60"/>
      <c r="B53" s="68" t="s">
        <v>212</v>
      </c>
      <c r="C53" s="72" t="s">
        <v>213</v>
      </c>
      <c r="D53" s="89" t="s">
        <v>70</v>
      </c>
      <c r="E53" s="89" t="s">
        <v>71</v>
      </c>
      <c r="F53" s="69" t="s">
        <v>214</v>
      </c>
      <c r="G53" s="73" t="s">
        <v>215</v>
      </c>
      <c r="H53" s="69" t="s">
        <v>39</v>
      </c>
      <c r="I53" s="74">
        <f t="shared" ref="I53:AL53" si="1">I45-($I$12-$I$13+$I$14)</f>
        <v>2.5</v>
      </c>
      <c r="J53" s="74">
        <f t="shared" si="1"/>
        <v>3.5</v>
      </c>
      <c r="K53" s="74">
        <f t="shared" si="1"/>
        <v>1.5</v>
      </c>
      <c r="L53" s="74">
        <f t="shared" si="1"/>
        <v>0.5</v>
      </c>
      <c r="M53" s="74">
        <f t="shared" si="1"/>
        <v>2.5</v>
      </c>
      <c r="N53" s="74">
        <f t="shared" si="1"/>
        <v>2.5</v>
      </c>
      <c r="O53" s="69">
        <f t="shared" si="1"/>
        <v>14.5</v>
      </c>
      <c r="P53" s="69">
        <f t="shared" si="1"/>
        <v>3.5</v>
      </c>
      <c r="Q53" s="69">
        <f t="shared" si="1"/>
        <v>3.5</v>
      </c>
      <c r="R53" s="69">
        <f t="shared" si="1"/>
        <v>2.5</v>
      </c>
      <c r="S53" s="69">
        <f t="shared" si="1"/>
        <v>4.5</v>
      </c>
      <c r="T53" s="69">
        <f t="shared" si="1"/>
        <v>12.5</v>
      </c>
      <c r="U53" s="69">
        <f t="shared" si="1"/>
        <v>6.5</v>
      </c>
      <c r="V53" s="69">
        <f t="shared" si="1"/>
        <v>7.5</v>
      </c>
      <c r="W53" s="69">
        <f t="shared" si="1"/>
        <v>4.5</v>
      </c>
      <c r="X53" s="69">
        <f t="shared" si="1"/>
        <v>11.5</v>
      </c>
      <c r="Y53" s="69">
        <f t="shared" si="1"/>
        <v>5.5</v>
      </c>
      <c r="Z53" s="69">
        <f t="shared" si="1"/>
        <v>2.5</v>
      </c>
      <c r="AA53" s="69">
        <f t="shared" si="1"/>
        <v>17.5</v>
      </c>
      <c r="AB53" s="69">
        <f t="shared" si="1"/>
        <v>12.5</v>
      </c>
      <c r="AC53" s="69">
        <f t="shared" si="1"/>
        <v>16.5</v>
      </c>
      <c r="AD53" s="69">
        <f t="shared" si="1"/>
        <v>12.5</v>
      </c>
      <c r="AE53" s="69">
        <f t="shared" si="1"/>
        <v>0.5</v>
      </c>
      <c r="AF53" s="69">
        <f t="shared" si="1"/>
        <v>9.5</v>
      </c>
      <c r="AG53" s="69">
        <f t="shared" si="1"/>
        <v>7.5</v>
      </c>
      <c r="AH53" s="69">
        <f t="shared" si="1"/>
        <v>17.5</v>
      </c>
      <c r="AI53" s="69">
        <f t="shared" si="1"/>
        <v>15.5</v>
      </c>
      <c r="AJ53" s="69">
        <f t="shared" si="1"/>
        <v>3.5</v>
      </c>
      <c r="AK53" s="69">
        <f t="shared" si="1"/>
        <v>2.5</v>
      </c>
      <c r="AL53" s="69">
        <f t="shared" si="1"/>
        <v>5.5</v>
      </c>
      <c r="AM53" s="69"/>
      <c r="AN53" s="75"/>
    </row>
    <row r="54" spans="1:40" s="76" customFormat="1" ht="14.25">
      <c r="A54" s="60"/>
      <c r="B54" s="68" t="s">
        <v>216</v>
      </c>
      <c r="C54" s="72" t="s">
        <v>217</v>
      </c>
      <c r="D54" s="69" t="s">
        <v>70</v>
      </c>
      <c r="E54" s="69" t="s">
        <v>71</v>
      </c>
      <c r="F54" s="69" t="s">
        <v>218</v>
      </c>
      <c r="G54" s="89"/>
      <c r="H54" s="69" t="s">
        <v>39</v>
      </c>
      <c r="I54" s="90">
        <f>ABS(I53-J53)</f>
        <v>1</v>
      </c>
      <c r="J54" s="90"/>
      <c r="K54" s="90">
        <f>ABS(K53-L53)</f>
        <v>1</v>
      </c>
      <c r="L54" s="90"/>
      <c r="M54" s="90">
        <f>ABS(M53-N53)</f>
        <v>0</v>
      </c>
      <c r="N54" s="90"/>
      <c r="O54" s="90">
        <f>ABS(O53-P53)</f>
        <v>11</v>
      </c>
      <c r="P54" s="90"/>
      <c r="Q54" s="90">
        <f>ABS(Q53-R53)</f>
        <v>1</v>
      </c>
      <c r="R54" s="90"/>
      <c r="S54" s="90">
        <f>ABS(S53-T53)</f>
        <v>8</v>
      </c>
      <c r="T54" s="90"/>
      <c r="U54" s="90">
        <f>ABS(U53-V53)</f>
        <v>1</v>
      </c>
      <c r="V54" s="90"/>
      <c r="W54" s="90">
        <f>ABS(W53-X53)</f>
        <v>7</v>
      </c>
      <c r="X54" s="90"/>
      <c r="Y54" s="90">
        <f>ABS(Y53-Z53)</f>
        <v>3</v>
      </c>
      <c r="Z54" s="90"/>
      <c r="AA54" s="90">
        <f>ABS(AA53-AB53)</f>
        <v>5</v>
      </c>
      <c r="AB54" s="90"/>
      <c r="AC54" s="90">
        <f>ABS(AC53-AD53)</f>
        <v>4</v>
      </c>
      <c r="AD54" s="90"/>
      <c r="AE54" s="90">
        <f>ABS(AE53-AF53)</f>
        <v>9</v>
      </c>
      <c r="AF54" s="90"/>
      <c r="AG54" s="90">
        <f>ABS(AG53-AH53)</f>
        <v>10</v>
      </c>
      <c r="AH54" s="90"/>
      <c r="AI54" s="90">
        <f>ABS(AI53-AJ53)</f>
        <v>12</v>
      </c>
      <c r="AJ54" s="90"/>
      <c r="AK54" s="90">
        <f>ABS(AK53-AL53)</f>
        <v>3</v>
      </c>
      <c r="AL54" s="90"/>
      <c r="AM54" s="90"/>
      <c r="AN54" s="91"/>
    </row>
    <row r="55" spans="1:40" s="76" customFormat="1" ht="14.25">
      <c r="A55" s="60"/>
      <c r="B55" s="68" t="s">
        <v>219</v>
      </c>
      <c r="C55" s="72" t="s">
        <v>220</v>
      </c>
      <c r="D55" s="69" t="s">
        <v>70</v>
      </c>
      <c r="E55" s="69" t="s">
        <v>71</v>
      </c>
      <c r="F55" s="69" t="s">
        <v>221</v>
      </c>
      <c r="G55" s="73" t="s">
        <v>222</v>
      </c>
      <c r="H55" s="69" t="s">
        <v>39</v>
      </c>
      <c r="I55" s="74">
        <f>$I$15-I53-J53-$I$14*2</f>
        <v>149</v>
      </c>
      <c r="J55" s="74"/>
      <c r="K55" s="74">
        <f>$I$15-K53-L53-$I$14*2</f>
        <v>153</v>
      </c>
      <c r="L55" s="74"/>
      <c r="M55" s="74">
        <f>$I$15-M53-N53-$I$14*2</f>
        <v>150</v>
      </c>
      <c r="N55" s="74"/>
      <c r="O55" s="69">
        <f>$I$15-O53-P53-$I$14*2</f>
        <v>137</v>
      </c>
      <c r="P55" s="69"/>
      <c r="Q55" s="69">
        <f>$I$15-Q53-R53-$I$14*2</f>
        <v>149</v>
      </c>
      <c r="R55" s="69"/>
      <c r="S55" s="69">
        <f>$I$15-S53-T53-$I$14*2</f>
        <v>138</v>
      </c>
      <c r="T55" s="69"/>
      <c r="U55" s="69">
        <f>$I$15-U53-V53-$I$14*2</f>
        <v>141</v>
      </c>
      <c r="V55" s="69"/>
      <c r="W55" s="69">
        <f>$I$15-W53-X53-$I$14*2</f>
        <v>139</v>
      </c>
      <c r="X55" s="69"/>
      <c r="Y55" s="69">
        <f>$I$15-Y53-Z53-$I$14*2</f>
        <v>147</v>
      </c>
      <c r="Z55" s="69"/>
      <c r="AA55" s="69">
        <f>$I$15-AA53-AB53-$I$14*2</f>
        <v>125</v>
      </c>
      <c r="AB55" s="69"/>
      <c r="AC55" s="69">
        <f>$I$15-AC53-AD53-$I$14*2</f>
        <v>126</v>
      </c>
      <c r="AD55" s="69"/>
      <c r="AE55" s="69">
        <f>$I$15-AE53-AF53-$I$14*2</f>
        <v>145</v>
      </c>
      <c r="AF55" s="69"/>
      <c r="AG55" s="69">
        <f>$I$15-AG53-AH53-$I$14*2</f>
        <v>130</v>
      </c>
      <c r="AH55" s="69"/>
      <c r="AI55" s="69">
        <f>$I$15-AI53-AJ53-$I$14*2</f>
        <v>136</v>
      </c>
      <c r="AJ55" s="69"/>
      <c r="AK55" s="69">
        <f>$I$15-AK53-AL53-$I$14*2</f>
        <v>147</v>
      </c>
      <c r="AL55" s="69"/>
      <c r="AM55" s="69"/>
      <c r="AN55" s="75"/>
    </row>
    <row r="56" spans="1:40" s="76" customFormat="1" ht="14.25">
      <c r="A56" s="60"/>
      <c r="B56" s="68" t="s">
        <v>223</v>
      </c>
      <c r="C56" s="72" t="s">
        <v>224</v>
      </c>
      <c r="D56" s="69" t="s">
        <v>70</v>
      </c>
      <c r="E56" s="69" t="s">
        <v>71</v>
      </c>
      <c r="F56" s="70" t="s">
        <v>225</v>
      </c>
      <c r="G56" s="60"/>
      <c r="H56" s="69" t="s">
        <v>39</v>
      </c>
      <c r="I56" s="92">
        <f>$I$16-I55</f>
        <v>6</v>
      </c>
      <c r="J56" s="92"/>
      <c r="K56" s="92">
        <f>$I$16-K55</f>
        <v>2</v>
      </c>
      <c r="L56" s="92"/>
      <c r="M56" s="92">
        <f>$I$16-M55</f>
        <v>5</v>
      </c>
      <c r="N56" s="92"/>
      <c r="O56" s="92">
        <f>$I$16-O55</f>
        <v>18</v>
      </c>
      <c r="P56" s="92"/>
      <c r="Q56" s="92">
        <f>$I$16-Q55</f>
        <v>6</v>
      </c>
      <c r="R56" s="92"/>
      <c r="S56" s="92">
        <f>$I$16-S55</f>
        <v>17</v>
      </c>
      <c r="T56" s="92"/>
      <c r="U56" s="92">
        <f>$I$16-U55</f>
        <v>14</v>
      </c>
      <c r="V56" s="92"/>
      <c r="W56" s="92">
        <f>$I$16-W55</f>
        <v>16</v>
      </c>
      <c r="X56" s="92"/>
      <c r="Y56" s="92">
        <f>$I$16-Y55</f>
        <v>8</v>
      </c>
      <c r="Z56" s="92"/>
      <c r="AA56" s="92">
        <f>$I$16-AA55</f>
        <v>30</v>
      </c>
      <c r="AB56" s="92"/>
      <c r="AC56" s="92">
        <f>$I$16-AC55</f>
        <v>29</v>
      </c>
      <c r="AD56" s="92"/>
      <c r="AE56" s="92">
        <f>$I$16-AE55</f>
        <v>10</v>
      </c>
      <c r="AF56" s="92"/>
      <c r="AG56" s="92">
        <f>$I$16-AG55</f>
        <v>25</v>
      </c>
      <c r="AH56" s="92"/>
      <c r="AI56" s="92">
        <f>$I$16-AI55</f>
        <v>19</v>
      </c>
      <c r="AJ56" s="92"/>
      <c r="AK56" s="92">
        <f>$I$16-AK55</f>
        <v>8</v>
      </c>
      <c r="AL56" s="92"/>
      <c r="AM56" s="92"/>
      <c r="AN56" s="93"/>
    </row>
    <row r="57" spans="1:40" s="76" customFormat="1" ht="14.25">
      <c r="A57" s="60"/>
      <c r="B57" s="94" t="s">
        <v>226</v>
      </c>
      <c r="C57" s="72" t="s">
        <v>227</v>
      </c>
      <c r="D57" s="30" t="s">
        <v>70</v>
      </c>
      <c r="E57" s="30" t="s">
        <v>71</v>
      </c>
      <c r="F57" s="30" t="s">
        <v>228</v>
      </c>
      <c r="G57" s="95"/>
      <c r="H57" s="30" t="s">
        <v>229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75"/>
    </row>
    <row r="58" spans="1:40" s="76" customFormat="1" ht="14.25">
      <c r="A58" s="60"/>
      <c r="B58" s="68" t="s">
        <v>230</v>
      </c>
      <c r="C58" s="72" t="s">
        <v>231</v>
      </c>
      <c r="D58" s="69" t="s">
        <v>70</v>
      </c>
      <c r="E58" s="69" t="s">
        <v>71</v>
      </c>
      <c r="F58" s="69" t="s">
        <v>232</v>
      </c>
      <c r="G58" s="73"/>
      <c r="H58" s="69" t="s">
        <v>233</v>
      </c>
      <c r="I58" s="74">
        <f>I56/I36</f>
        <v>6</v>
      </c>
      <c r="J58" s="74"/>
      <c r="K58" s="74">
        <f>K56/K36</f>
        <v>2</v>
      </c>
      <c r="L58" s="74"/>
      <c r="M58" s="74">
        <f>M56/M36</f>
        <v>5</v>
      </c>
      <c r="N58" s="74"/>
      <c r="O58" s="69">
        <f>O56/O36</f>
        <v>9</v>
      </c>
      <c r="P58" s="69"/>
      <c r="Q58" s="69">
        <f>Q56/Q36</f>
        <v>2</v>
      </c>
      <c r="R58" s="69"/>
      <c r="S58" s="69">
        <f>S56/S36</f>
        <v>2.8333333333333335</v>
      </c>
      <c r="T58" s="69"/>
      <c r="U58" s="69">
        <f>U56/U36</f>
        <v>2.3333333333333335</v>
      </c>
      <c r="V58" s="69"/>
      <c r="W58" s="69">
        <f>W56/W36</f>
        <v>2.6666666666666665</v>
      </c>
      <c r="X58" s="69"/>
      <c r="Y58" s="69">
        <f>Y56/Y36</f>
        <v>4</v>
      </c>
      <c r="Z58" s="69"/>
      <c r="AA58" s="69">
        <f>AA56/AA36</f>
        <v>5</v>
      </c>
      <c r="AB58" s="69"/>
      <c r="AC58" s="69">
        <f>AC56/AC36</f>
        <v>9.6666666666666661</v>
      </c>
      <c r="AD58" s="69"/>
      <c r="AE58" s="69">
        <f>AE56/AE36</f>
        <v>5</v>
      </c>
      <c r="AF58" s="69"/>
      <c r="AG58" s="69">
        <f>AG56/AG36</f>
        <v>8.3333333333333339</v>
      </c>
      <c r="AH58" s="69"/>
      <c r="AI58" s="69">
        <f>AI56/AI36</f>
        <v>6.333333333333333</v>
      </c>
      <c r="AJ58" s="69"/>
      <c r="AK58" s="69">
        <f>AK56/AK36</f>
        <v>2</v>
      </c>
      <c r="AL58" s="69"/>
      <c r="AM58" s="69"/>
      <c r="AN58" s="75"/>
    </row>
    <row r="59" spans="1:40" s="76" customFormat="1" ht="14.25">
      <c r="A59" s="60"/>
      <c r="B59" s="68" t="s">
        <v>234</v>
      </c>
      <c r="C59" s="72" t="s">
        <v>235</v>
      </c>
      <c r="D59" s="69" t="s">
        <v>70</v>
      </c>
      <c r="E59" s="69" t="s">
        <v>71</v>
      </c>
      <c r="F59" s="69" t="s">
        <v>236</v>
      </c>
      <c r="G59" s="69"/>
      <c r="H59" s="69" t="s">
        <v>237</v>
      </c>
      <c r="I59" s="96">
        <f>I56/I37</f>
        <v>0.13043478260869565</v>
      </c>
      <c r="J59" s="96"/>
      <c r="K59" s="96">
        <f>K56/K37</f>
        <v>4.4444444444444446E-2</v>
      </c>
      <c r="L59" s="96"/>
      <c r="M59" s="96">
        <f>M56/M37</f>
        <v>0.11363636363636363</v>
      </c>
      <c r="N59" s="96"/>
      <c r="O59" s="96">
        <f>O56/O37</f>
        <v>0.16822429906542055</v>
      </c>
      <c r="P59" s="96"/>
      <c r="Q59" s="96">
        <f>Q56/Q37</f>
        <v>3.2432432432432434E-2</v>
      </c>
      <c r="R59" s="96"/>
      <c r="S59" s="96">
        <f>S56/S37</f>
        <v>5.3124999999999999E-2</v>
      </c>
      <c r="T59" s="96"/>
      <c r="U59" s="96">
        <f>U56/U37</f>
        <v>4.1176470588235294E-2</v>
      </c>
      <c r="V59" s="96"/>
      <c r="W59" s="96">
        <f>W56/W37</f>
        <v>5.5749128919860627E-2</v>
      </c>
      <c r="X59" s="96"/>
      <c r="Y59" s="96">
        <f>Y56/Y37</f>
        <v>5.5172413793103448E-2</v>
      </c>
      <c r="Z59" s="96"/>
      <c r="AA59" s="96">
        <f>AA56/AA37</f>
        <v>0.10067114093959731</v>
      </c>
      <c r="AB59" s="96"/>
      <c r="AC59" s="96">
        <f>AC56/AC37</f>
        <v>0.17365269461077845</v>
      </c>
      <c r="AD59" s="96"/>
      <c r="AE59" s="96">
        <f>AE56/AE37</f>
        <v>8.771929824561403E-2</v>
      </c>
      <c r="AF59" s="96"/>
      <c r="AG59" s="96">
        <f>AG56/AG37</f>
        <v>0.18115942028985507</v>
      </c>
      <c r="AH59" s="96"/>
      <c r="AI59" s="96">
        <f>AI56/AI37</f>
        <v>0.12751677852348994</v>
      </c>
      <c r="AJ59" s="96"/>
      <c r="AK59" s="96">
        <f>AK56/AK37</f>
        <v>4.145077720207254E-2</v>
      </c>
      <c r="AL59" s="96"/>
      <c r="AM59" s="96"/>
      <c r="AN59" s="97"/>
    </row>
    <row r="60" spans="1:40" s="76" customFormat="1" ht="14.25">
      <c r="A60" s="60"/>
      <c r="B60" s="68"/>
      <c r="C60" s="72"/>
      <c r="D60" s="72"/>
      <c r="E60" s="72"/>
      <c r="F60" s="69"/>
      <c r="G60" s="69"/>
      <c r="H60" s="69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9"/>
    </row>
    <row r="61" spans="1:40" s="106" customFormat="1" ht="14.25">
      <c r="A61" s="100"/>
      <c r="B61" s="101" t="s">
        <v>238</v>
      </c>
      <c r="C61" s="102"/>
      <c r="D61" s="102"/>
      <c r="E61" s="102"/>
      <c r="F61" s="102"/>
      <c r="G61" s="103" t="s">
        <v>239</v>
      </c>
      <c r="H61" s="103" t="s">
        <v>229</v>
      </c>
      <c r="I61" s="104" t="e">
        <f>($I$19-I59)/($I$19-$I$20)*100</f>
        <v>#DIV/0!</v>
      </c>
      <c r="J61" s="104"/>
      <c r="K61" s="104" t="e">
        <f>($I$19-K59)/($I$19-$I$20)*100</f>
        <v>#DIV/0!</v>
      </c>
      <c r="L61" s="104"/>
      <c r="M61" s="104" t="e">
        <f>($I$19-M59)/($I$19-$I$20)*100</f>
        <v>#DIV/0!</v>
      </c>
      <c r="N61" s="104"/>
      <c r="O61" s="104" t="e">
        <f>($I$19-O59)/($I$19-$I$20)*100</f>
        <v>#DIV/0!</v>
      </c>
      <c r="P61" s="104"/>
      <c r="Q61" s="104" t="e">
        <f>($I$19-Q59)/($I$19-$I$20)*100</f>
        <v>#DIV/0!</v>
      </c>
      <c r="R61" s="104"/>
      <c r="S61" s="104" t="e">
        <f>($I$19-S59)/($I$19-$I$20)*100</f>
        <v>#DIV/0!</v>
      </c>
      <c r="T61" s="104"/>
      <c r="U61" s="104" t="e">
        <f>($I$19-U59)/($I$19-$I$20)*100</f>
        <v>#DIV/0!</v>
      </c>
      <c r="V61" s="104"/>
      <c r="W61" s="104" t="e">
        <f>($I$19-W59)/($I$19-$I$20)*100</f>
        <v>#DIV/0!</v>
      </c>
      <c r="X61" s="104"/>
      <c r="Y61" s="104" t="e">
        <f>($I$19-Y59)/($I$19-$I$20)*100</f>
        <v>#DIV/0!</v>
      </c>
      <c r="Z61" s="104"/>
      <c r="AA61" s="104" t="e">
        <f>($I$19-AA59)/($I$19-$I$20)*100</f>
        <v>#DIV/0!</v>
      </c>
      <c r="AB61" s="104"/>
      <c r="AC61" s="104" t="e">
        <f>($I$19-AC59)/($I$19-$I$20)*100</f>
        <v>#DIV/0!</v>
      </c>
      <c r="AD61" s="104"/>
      <c r="AE61" s="104" t="e">
        <f>($I$19-AE59)/($I$19-$I$20)*100</f>
        <v>#DIV/0!</v>
      </c>
      <c r="AF61" s="104"/>
      <c r="AG61" s="104" t="e">
        <f>($I$19-AG59)/($I$19-$I$20)*100</f>
        <v>#DIV/0!</v>
      </c>
      <c r="AH61" s="104"/>
      <c r="AI61" s="104" t="e">
        <f>($I$19-AI59)/($I$19-$I$20)*100</f>
        <v>#DIV/0!</v>
      </c>
      <c r="AJ61" s="104"/>
      <c r="AK61" s="104" t="e">
        <f>($I$19-AK59)/($I$19-$I$20)*100</f>
        <v>#DIV/0!</v>
      </c>
      <c r="AL61" s="104"/>
      <c r="AM61" s="104"/>
      <c r="AN61" s="105"/>
    </row>
    <row r="62" spans="1:40" s="106" customFormat="1" ht="14.25">
      <c r="A62" s="100"/>
      <c r="I62" s="104">
        <f>I55/$I$16*100</f>
        <v>96.129032258064512</v>
      </c>
      <c r="J62" s="104"/>
      <c r="K62" s="104">
        <f>K55/$I$16*100</f>
        <v>98.709677419354833</v>
      </c>
      <c r="L62" s="104"/>
      <c r="M62" s="104">
        <f>M55/$I$16*100</f>
        <v>96.774193548387103</v>
      </c>
      <c r="N62" s="104"/>
      <c r="O62" s="104">
        <f>O55/$I$16*100</f>
        <v>88.387096774193552</v>
      </c>
      <c r="P62" s="104"/>
      <c r="Q62" s="104">
        <f>Q55/$I$16*100</f>
        <v>96.129032258064512</v>
      </c>
      <c r="R62" s="104"/>
      <c r="S62" s="104">
        <f>S55/$I$16*100</f>
        <v>89.032258064516128</v>
      </c>
      <c r="T62" s="104"/>
      <c r="U62" s="104">
        <f>U55/$I$16*100</f>
        <v>90.967741935483872</v>
      </c>
      <c r="V62" s="104"/>
      <c r="W62" s="104">
        <f>W55/$I$16*100</f>
        <v>89.677419354838705</v>
      </c>
      <c r="X62" s="104"/>
      <c r="Y62" s="104">
        <f>Y55/$I$16*100</f>
        <v>94.838709677419359</v>
      </c>
      <c r="Z62" s="104"/>
      <c r="AA62" s="104">
        <f>AA55/$I$16*100</f>
        <v>80.645161290322577</v>
      </c>
      <c r="AB62" s="104"/>
      <c r="AC62" s="104">
        <f>AC55/$I$16*100</f>
        <v>81.290322580645153</v>
      </c>
      <c r="AD62" s="104"/>
      <c r="AE62" s="104">
        <f>AE55/$I$16*100</f>
        <v>93.548387096774192</v>
      </c>
      <c r="AF62" s="104"/>
      <c r="AG62" s="104">
        <f>AG55/$I$16*100</f>
        <v>83.870967741935488</v>
      </c>
      <c r="AH62" s="104"/>
      <c r="AI62" s="104">
        <f>AI55/$I$16*100</f>
        <v>87.741935483870975</v>
      </c>
      <c r="AJ62" s="104"/>
      <c r="AK62" s="104">
        <f>AK55/$I$16*100</f>
        <v>94.838709677419359</v>
      </c>
      <c r="AL62" s="104"/>
      <c r="AM62" s="104"/>
      <c r="AN62" s="105"/>
    </row>
    <row r="63" spans="1:40" s="106" customFormat="1" ht="14.25">
      <c r="A63" s="100"/>
      <c r="B63" s="101" t="s">
        <v>240</v>
      </c>
      <c r="C63" s="102"/>
      <c r="D63" s="102"/>
      <c r="E63" s="102"/>
      <c r="F63" s="102"/>
      <c r="G63" s="107" t="s">
        <v>241</v>
      </c>
      <c r="H63" s="103" t="s">
        <v>229</v>
      </c>
      <c r="I63" s="104">
        <f>100*(1-I54/(I53+J53))</f>
        <v>83.333333333333343</v>
      </c>
      <c r="J63" s="104"/>
      <c r="K63" s="104">
        <f>100*(1-K54/(K53+L53))</f>
        <v>50</v>
      </c>
      <c r="L63" s="104"/>
      <c r="M63" s="104">
        <f>100*(1-M54/(M53+N53))</f>
        <v>100</v>
      </c>
      <c r="N63" s="104"/>
      <c r="O63" s="104">
        <f>100*(1-O54/(O53+P53))</f>
        <v>38.888888888888886</v>
      </c>
      <c r="P63" s="104"/>
      <c r="Q63" s="104">
        <f>100*(1-Q54/(Q53+R53))</f>
        <v>83.333333333333343</v>
      </c>
      <c r="R63" s="104"/>
      <c r="S63" s="104">
        <f>100*(1-S54/(S53+T53))</f>
        <v>52.941176470588239</v>
      </c>
      <c r="T63" s="104"/>
      <c r="U63" s="104">
        <f>100*(1-U54/(U53+V53))</f>
        <v>92.857142857142861</v>
      </c>
      <c r="V63" s="104"/>
      <c r="W63" s="104">
        <f>100*(1-W54/(W53+X53))</f>
        <v>56.25</v>
      </c>
      <c r="X63" s="104"/>
      <c r="Y63" s="104">
        <f>100*(1-Y54/(Y53+Z53))</f>
        <v>62.5</v>
      </c>
      <c r="Z63" s="104"/>
      <c r="AA63" s="104">
        <f>100*(1-AA54/(AA53+AB53))</f>
        <v>83.333333333333343</v>
      </c>
      <c r="AB63" s="104"/>
      <c r="AC63" s="104">
        <f>100*(1-AC54/(AC53+AD53))</f>
        <v>86.206896551724128</v>
      </c>
      <c r="AD63" s="104"/>
      <c r="AE63" s="104">
        <f>100*(1-AE54/(AE53+AF53))</f>
        <v>9.9999999999999982</v>
      </c>
      <c r="AF63" s="104"/>
      <c r="AG63" s="104">
        <f>100*(1-AG54/(AG53+AH53))</f>
        <v>60</v>
      </c>
      <c r="AH63" s="104"/>
      <c r="AI63" s="104">
        <f>100*(1-AI54/(AI53+AJ53))</f>
        <v>36.842105263157897</v>
      </c>
      <c r="AJ63" s="104"/>
      <c r="AK63" s="104">
        <f>100*(1-AK54/(AK53+AL53))</f>
        <v>62.5</v>
      </c>
      <c r="AL63" s="104"/>
      <c r="AM63" s="104"/>
      <c r="AN63" s="105"/>
    </row>
    <row r="64" spans="1:40" s="106" customFormat="1" ht="14.25">
      <c r="A64" s="100"/>
      <c r="B64" s="101" t="s">
        <v>242</v>
      </c>
      <c r="C64" s="102"/>
      <c r="D64" s="102"/>
      <c r="E64" s="102"/>
      <c r="F64" s="102"/>
      <c r="G64" s="103" t="s">
        <v>243</v>
      </c>
      <c r="H64" s="103" t="s">
        <v>229</v>
      </c>
      <c r="I64" s="108">
        <f>100*(1-(((I46+J46)/2)-$I$17)/($I$18-$I$17))</f>
        <v>109.33333333333333</v>
      </c>
      <c r="J64" s="108"/>
      <c r="K64" s="108">
        <f>100*(1-(((K46+L46)/2)-$I$17)/($I$18-$I$17))</f>
        <v>108.66666666666667</v>
      </c>
      <c r="L64" s="108"/>
      <c r="M64" s="108">
        <f>100*(1-(((M46+N46)/2)-$I$17)/($I$18-$I$17))</f>
        <v>113.33333333333333</v>
      </c>
      <c r="N64" s="108"/>
      <c r="O64" s="108">
        <f>100*(1-(((O46+P46)/2)-$I$17)/($I$18-$I$17))</f>
        <v>117.33333333333333</v>
      </c>
      <c r="P64" s="108"/>
      <c r="Q64" s="108">
        <f>100*(1-(((Q46+R46)/2)-$I$17)/($I$18-$I$17))</f>
        <v>119.33333333333334</v>
      </c>
      <c r="R64" s="108"/>
      <c r="S64" s="108">
        <f>100*(1-(((S46+T46)/2)-$I$17)/($I$18-$I$17))</f>
        <v>126.66666666666666</v>
      </c>
      <c r="T64" s="108"/>
      <c r="U64" s="108">
        <f>100*(1-(((U46+V46)/2)-$I$17)/($I$18-$I$17))</f>
        <v>124.66666666666666</v>
      </c>
      <c r="V64" s="108"/>
      <c r="W64" s="108">
        <f>100*(1-(((W46+X46)/2)-$I$17)/($I$18-$I$17))</f>
        <v>120.66666666666666</v>
      </c>
      <c r="X64" s="108"/>
      <c r="Y64" s="108">
        <f>100*(1-(((Y46+Z46)/2)-$I$17)/($I$18-$I$17))</f>
        <v>122.66666666666666</v>
      </c>
      <c r="Z64" s="108"/>
      <c r="AA64" s="108">
        <f>100*(1-(((AA46+AB46)/2)-$I$17)/($I$18-$I$17))</f>
        <v>131.33333333333334</v>
      </c>
      <c r="AB64" s="108"/>
      <c r="AC64" s="108">
        <f>100*(1-(((AC46+AD46)/2)-$I$17)/($I$18-$I$17))</f>
        <v>170</v>
      </c>
      <c r="AD64" s="108"/>
      <c r="AE64" s="108">
        <f>100*(1-(((AE46+AF46)/2)-$I$17)/($I$18-$I$17))</f>
        <v>125.33333333333334</v>
      </c>
      <c r="AF64" s="108"/>
      <c r="AG64" s="108">
        <f>100*(1-(((AG46+AH46)/2)-$I$17)/($I$18-$I$17))</f>
        <v>150.66666666666669</v>
      </c>
      <c r="AH64" s="108"/>
      <c r="AI64" s="108">
        <f>100*(1-(((AI46+AJ46)/2)-$I$17)/($I$18-$I$17))</f>
        <v>152</v>
      </c>
      <c r="AJ64" s="108"/>
      <c r="AK64" s="108">
        <f>100*(1-(((AK46+AL46)/2)-$I$17)/($I$18-$I$17))</f>
        <v>115.33333333333333</v>
      </c>
      <c r="AL64" s="108"/>
      <c r="AM64" s="108"/>
      <c r="AN64" s="109"/>
    </row>
    <row r="65" spans="1:46" s="106" customFormat="1" ht="15" thickBot="1">
      <c r="A65" s="100"/>
      <c r="B65" s="110" t="s">
        <v>244</v>
      </c>
      <c r="C65" s="111"/>
      <c r="D65" s="111"/>
      <c r="E65" s="111"/>
      <c r="F65" s="111"/>
      <c r="G65" s="112" t="s">
        <v>245</v>
      </c>
      <c r="H65" s="112" t="s">
        <v>246</v>
      </c>
      <c r="I65" s="113" t="e">
        <f>SUM(I61:J62,I63:J64)</f>
        <v>#DIV/0!</v>
      </c>
      <c r="J65" s="114"/>
      <c r="K65" s="113" t="e">
        <f>SUM(K61:L62,K63:L64)</f>
        <v>#DIV/0!</v>
      </c>
      <c r="L65" s="114"/>
      <c r="M65" s="113" t="e">
        <f>SUM(M61:N62,M63:N64)</f>
        <v>#DIV/0!</v>
      </c>
      <c r="N65" s="114"/>
      <c r="O65" s="113" t="e">
        <f>SUM(O61:P62,O63:P64)</f>
        <v>#DIV/0!</v>
      </c>
      <c r="P65" s="114"/>
      <c r="Q65" s="113" t="e">
        <f>SUM(Q61:R62,Q63:R64)</f>
        <v>#DIV/0!</v>
      </c>
      <c r="R65" s="114"/>
      <c r="S65" s="113" t="e">
        <f>SUM(S61:T62,S63:T64)</f>
        <v>#DIV/0!</v>
      </c>
      <c r="T65" s="114"/>
      <c r="U65" s="113" t="e">
        <f>SUM(U61:V62,U63:V64)</f>
        <v>#DIV/0!</v>
      </c>
      <c r="V65" s="114"/>
      <c r="W65" s="113" t="e">
        <f>SUM(W61:X62,W63:X64)</f>
        <v>#DIV/0!</v>
      </c>
      <c r="X65" s="114"/>
      <c r="Y65" s="113" t="e">
        <f>SUM(Y61:Z62,Y63:Z64)</f>
        <v>#DIV/0!</v>
      </c>
      <c r="Z65" s="114"/>
      <c r="AA65" s="113" t="e">
        <f>SUM(AA61:AB62,AA63:AB64)</f>
        <v>#DIV/0!</v>
      </c>
      <c r="AB65" s="114"/>
      <c r="AC65" s="113" t="e">
        <f>SUM(AC61:AD62,AC63:AD64)</f>
        <v>#DIV/0!</v>
      </c>
      <c r="AD65" s="114"/>
      <c r="AE65" s="113" t="e">
        <f>SUM(AE61:AF62,AE63:AF64)</f>
        <v>#DIV/0!</v>
      </c>
      <c r="AF65" s="114"/>
      <c r="AG65" s="113" t="e">
        <f>SUM(AG61:AH62,AG63:AH64)</f>
        <v>#DIV/0!</v>
      </c>
      <c r="AH65" s="114"/>
      <c r="AI65" s="113" t="e">
        <f>SUM(AI61:AJ62,AI63:AJ64)</f>
        <v>#DIV/0!</v>
      </c>
      <c r="AJ65" s="114"/>
      <c r="AK65" s="113" t="e">
        <f>SUM(AK61:AL62,AK63:AL64)</f>
        <v>#DIV/0!</v>
      </c>
      <c r="AL65" s="114"/>
      <c r="AM65" s="113"/>
      <c r="AN65" s="115"/>
    </row>
    <row r="66" spans="1:46">
      <c r="B66" s="116"/>
      <c r="C66" s="117"/>
      <c r="D66" s="117"/>
      <c r="E66" s="117"/>
      <c r="H66" s="118"/>
      <c r="I66" s="1"/>
      <c r="J66" s="118"/>
      <c r="K66" s="1"/>
      <c r="L66" s="118"/>
      <c r="M66" s="1"/>
      <c r="N66" s="118"/>
      <c r="O66" s="1"/>
      <c r="P66" s="118"/>
      <c r="Q66" s="1"/>
      <c r="R66" s="2"/>
      <c r="S66" s="2"/>
      <c r="T66" s="118"/>
      <c r="U66" s="1"/>
      <c r="V66" s="118"/>
      <c r="W66" s="1"/>
      <c r="X66" s="118"/>
      <c r="Y66" s="1"/>
      <c r="Z66" s="118"/>
      <c r="AA66" s="1"/>
      <c r="AB66" s="118"/>
      <c r="AC66" s="1"/>
      <c r="AD66" s="2"/>
      <c r="AE66" s="2"/>
      <c r="AF66" s="118"/>
      <c r="AG66" s="1"/>
      <c r="AH66" s="118"/>
      <c r="AI66" s="1"/>
      <c r="AJ66" s="118"/>
      <c r="AK66" s="1"/>
      <c r="AL66" s="118"/>
      <c r="AM66" s="1"/>
      <c r="AN66" s="118"/>
      <c r="AO66" s="1"/>
      <c r="AP66" s="2"/>
      <c r="AQ66" s="2"/>
      <c r="AR66" s="118"/>
      <c r="AS66" s="1"/>
    </row>
    <row r="67" spans="1:46" ht="14.25" thickBot="1">
      <c r="I67" s="1"/>
      <c r="J67" s="118"/>
      <c r="K67" s="1"/>
      <c r="L67" s="118"/>
      <c r="M67" s="1"/>
      <c r="N67" s="118"/>
      <c r="O67" s="1"/>
      <c r="P67" s="118"/>
      <c r="Q67" s="1"/>
      <c r="R67" s="1"/>
      <c r="S67" s="1"/>
      <c r="T67" s="118"/>
      <c r="U67" s="1"/>
      <c r="V67" s="118"/>
      <c r="W67" s="1"/>
      <c r="X67" s="118"/>
      <c r="Y67" s="1"/>
      <c r="Z67" s="118"/>
      <c r="AA67" s="1"/>
      <c r="AB67" s="118"/>
      <c r="AC67" s="1"/>
      <c r="AD67" s="1"/>
      <c r="AE67" s="1"/>
      <c r="AF67" s="118"/>
      <c r="AG67" s="1"/>
      <c r="AH67" s="118"/>
      <c r="AI67" s="1"/>
      <c r="AJ67" s="118"/>
      <c r="AK67" s="1"/>
      <c r="AL67" s="118"/>
      <c r="AM67" s="1"/>
      <c r="AN67" s="118"/>
      <c r="AO67" s="1"/>
      <c r="AP67" s="118"/>
      <c r="AQ67" s="1"/>
      <c r="AR67" s="118"/>
      <c r="AS67" s="1"/>
      <c r="AT67" s="1"/>
    </row>
    <row r="68" spans="1:46">
      <c r="B68" s="119"/>
      <c r="C68" s="120" t="s">
        <v>247</v>
      </c>
      <c r="D68" s="120"/>
      <c r="E68" s="120"/>
      <c r="F68" s="121"/>
      <c r="G68" s="122" t="s">
        <v>149</v>
      </c>
      <c r="H68" s="123">
        <f>SUM(I37:FS37)/2</f>
        <v>2578</v>
      </c>
    </row>
    <row r="69" spans="1:46">
      <c r="B69" s="124"/>
      <c r="C69" s="125" t="s">
        <v>248</v>
      </c>
      <c r="D69" s="125"/>
      <c r="E69" s="125"/>
      <c r="F69" s="126"/>
      <c r="G69" s="126" t="s">
        <v>144</v>
      </c>
      <c r="H69" s="127">
        <f>SUM(I36:FS36)/2</f>
        <v>49</v>
      </c>
    </row>
    <row r="70" spans="1:46">
      <c r="B70" s="124"/>
      <c r="C70" s="128" t="s">
        <v>249</v>
      </c>
      <c r="D70" s="128"/>
      <c r="E70" s="128"/>
      <c r="F70" s="126"/>
      <c r="G70" s="126" t="s">
        <v>39</v>
      </c>
      <c r="H70" s="127">
        <f>SUM(I56:FS56)</f>
        <v>213</v>
      </c>
    </row>
    <row r="71" spans="1:46">
      <c r="B71" s="124"/>
      <c r="C71" s="129" t="s">
        <v>250</v>
      </c>
      <c r="D71" s="129"/>
      <c r="E71" s="129"/>
      <c r="F71" s="126"/>
      <c r="G71" s="126" t="s">
        <v>251</v>
      </c>
      <c r="H71" s="130">
        <f>H70/H68</f>
        <v>8.2622187742436001E-2</v>
      </c>
    </row>
    <row r="72" spans="1:46" ht="14.25" thickBot="1">
      <c r="B72" s="131"/>
      <c r="C72" s="132" t="s">
        <v>252</v>
      </c>
      <c r="D72" s="132"/>
      <c r="E72" s="132"/>
      <c r="F72" s="133"/>
      <c r="G72" s="133" t="s">
        <v>233</v>
      </c>
      <c r="H72" s="134">
        <f>H70/H69</f>
        <v>4.3469387755102042</v>
      </c>
    </row>
    <row r="78" spans="1:46">
      <c r="F78" s="126" t="s">
        <v>105</v>
      </c>
      <c r="G78" s="126" t="s">
        <v>253</v>
      </c>
      <c r="H78" s="126" t="s">
        <v>222</v>
      </c>
      <c r="S78" s="126" t="s">
        <v>105</v>
      </c>
      <c r="T78" s="126" t="s">
        <v>253</v>
      </c>
      <c r="U78" s="135" t="s">
        <v>254</v>
      </c>
      <c r="V78" s="135" t="s">
        <v>255</v>
      </c>
    </row>
    <row r="79" spans="1:46">
      <c r="F79" s="126" t="s">
        <v>256</v>
      </c>
      <c r="G79" s="126">
        <v>1</v>
      </c>
      <c r="H79" s="126">
        <v>149</v>
      </c>
      <c r="S79" s="126" t="s">
        <v>256</v>
      </c>
      <c r="T79" s="126">
        <v>1</v>
      </c>
      <c r="U79" s="135">
        <v>3</v>
      </c>
      <c r="V79" s="135">
        <v>4</v>
      </c>
    </row>
    <row r="80" spans="1:46" ht="13.5" customHeight="1">
      <c r="F80" s="126" t="s">
        <v>257</v>
      </c>
      <c r="G80" s="126">
        <v>1</v>
      </c>
      <c r="H80" s="126">
        <v>153</v>
      </c>
      <c r="S80" s="126" t="s">
        <v>257</v>
      </c>
      <c r="T80" s="126">
        <v>1</v>
      </c>
      <c r="U80" s="135">
        <v>2</v>
      </c>
      <c r="V80" s="135">
        <v>1</v>
      </c>
    </row>
    <row r="81" spans="6:22">
      <c r="F81" s="126" t="s">
        <v>258</v>
      </c>
      <c r="G81" s="126">
        <v>1</v>
      </c>
      <c r="H81" s="126">
        <v>150</v>
      </c>
      <c r="S81" s="126" t="s">
        <v>258</v>
      </c>
      <c r="T81" s="126">
        <v>1</v>
      </c>
      <c r="U81" s="135">
        <v>3</v>
      </c>
      <c r="V81" s="135">
        <v>3</v>
      </c>
    </row>
    <row r="82" spans="6:22">
      <c r="F82" s="126" t="s">
        <v>259</v>
      </c>
      <c r="G82" s="126">
        <v>2</v>
      </c>
      <c r="H82" s="126">
        <v>137</v>
      </c>
      <c r="S82" s="126" t="s">
        <v>259</v>
      </c>
      <c r="T82" s="126">
        <v>2</v>
      </c>
      <c r="U82" s="135">
        <v>15</v>
      </c>
      <c r="V82" s="135">
        <v>4</v>
      </c>
    </row>
    <row r="83" spans="6:22">
      <c r="F83" s="126" t="s">
        <v>260</v>
      </c>
      <c r="G83" s="126">
        <v>3</v>
      </c>
      <c r="H83" s="126">
        <v>149</v>
      </c>
      <c r="S83" s="126" t="s">
        <v>260</v>
      </c>
      <c r="T83" s="126">
        <v>3</v>
      </c>
      <c r="U83" s="135">
        <v>4</v>
      </c>
      <c r="V83" s="135">
        <v>3</v>
      </c>
    </row>
    <row r="84" spans="6:22">
      <c r="F84" s="126" t="s">
        <v>261</v>
      </c>
      <c r="G84" s="126">
        <v>6</v>
      </c>
      <c r="H84" s="126">
        <v>138</v>
      </c>
      <c r="S84" s="126" t="s">
        <v>261</v>
      </c>
      <c r="T84" s="126">
        <v>6</v>
      </c>
      <c r="U84" s="135">
        <v>5</v>
      </c>
      <c r="V84" s="135">
        <v>13</v>
      </c>
    </row>
    <row r="85" spans="6:22">
      <c r="F85" s="126" t="s">
        <v>262</v>
      </c>
      <c r="G85" s="126">
        <v>6</v>
      </c>
      <c r="H85" s="126">
        <v>141</v>
      </c>
      <c r="S85" s="126" t="s">
        <v>262</v>
      </c>
      <c r="T85" s="126">
        <v>6</v>
      </c>
      <c r="U85" s="135">
        <v>7</v>
      </c>
      <c r="V85" s="135">
        <v>8</v>
      </c>
    </row>
    <row r="86" spans="6:22">
      <c r="F86" s="126" t="s">
        <v>263</v>
      </c>
      <c r="G86" s="126">
        <v>6</v>
      </c>
      <c r="H86" s="126">
        <v>139</v>
      </c>
      <c r="S86" s="126" t="s">
        <v>263</v>
      </c>
      <c r="T86" s="126">
        <v>6</v>
      </c>
      <c r="U86" s="135">
        <v>5</v>
      </c>
      <c r="V86" s="135">
        <v>12</v>
      </c>
    </row>
    <row r="87" spans="6:22">
      <c r="F87" s="126" t="s">
        <v>264</v>
      </c>
      <c r="G87" s="126">
        <v>2</v>
      </c>
      <c r="H87" s="126">
        <v>147</v>
      </c>
      <c r="S87" s="126" t="s">
        <v>264</v>
      </c>
      <c r="T87" s="126">
        <v>2</v>
      </c>
      <c r="U87" s="135">
        <v>6</v>
      </c>
      <c r="V87" s="135">
        <v>3</v>
      </c>
    </row>
    <row r="88" spans="6:22">
      <c r="F88" s="126" t="s">
        <v>265</v>
      </c>
      <c r="G88" s="126">
        <v>6</v>
      </c>
      <c r="H88" s="126">
        <v>125</v>
      </c>
      <c r="S88" s="126" t="s">
        <v>265</v>
      </c>
      <c r="T88" s="126">
        <v>6</v>
      </c>
      <c r="U88" s="126">
        <v>18</v>
      </c>
      <c r="V88" s="126">
        <v>13</v>
      </c>
    </row>
    <row r="89" spans="6:22">
      <c r="F89" s="126" t="s">
        <v>266</v>
      </c>
      <c r="G89" s="126">
        <v>3</v>
      </c>
      <c r="H89" s="126">
        <v>126</v>
      </c>
      <c r="S89" s="126" t="s">
        <v>266</v>
      </c>
      <c r="T89" s="126">
        <v>3</v>
      </c>
      <c r="U89" s="126">
        <v>17</v>
      </c>
      <c r="V89" s="126">
        <v>13</v>
      </c>
    </row>
    <row r="90" spans="6:22" ht="13.5" customHeight="1">
      <c r="F90" s="126" t="s">
        <v>267</v>
      </c>
      <c r="G90" s="126">
        <v>2</v>
      </c>
      <c r="H90" s="126">
        <v>145</v>
      </c>
      <c r="S90" s="126" t="s">
        <v>267</v>
      </c>
      <c r="T90" s="126">
        <v>2</v>
      </c>
      <c r="U90" s="135">
        <v>1</v>
      </c>
      <c r="V90" s="135">
        <v>10</v>
      </c>
    </row>
    <row r="91" spans="6:22">
      <c r="F91" s="126" t="s">
        <v>268</v>
      </c>
      <c r="G91" s="126">
        <v>3</v>
      </c>
      <c r="H91" s="126">
        <v>130</v>
      </c>
      <c r="S91" s="126" t="s">
        <v>268</v>
      </c>
      <c r="T91" s="126">
        <v>3</v>
      </c>
      <c r="U91" s="135">
        <v>8</v>
      </c>
      <c r="V91" s="135">
        <v>18</v>
      </c>
    </row>
    <row r="92" spans="6:22">
      <c r="F92" s="126" t="s">
        <v>269</v>
      </c>
      <c r="G92" s="126">
        <v>3</v>
      </c>
      <c r="H92" s="126">
        <v>136</v>
      </c>
      <c r="S92" s="126" t="s">
        <v>269</v>
      </c>
      <c r="T92" s="126">
        <v>3</v>
      </c>
      <c r="U92" s="135">
        <v>16</v>
      </c>
      <c r="V92" s="135">
        <v>4</v>
      </c>
    </row>
    <row r="93" spans="6:22">
      <c r="F93" s="126" t="s">
        <v>270</v>
      </c>
      <c r="G93" s="126">
        <v>4</v>
      </c>
      <c r="H93" s="126">
        <v>147</v>
      </c>
      <c r="S93" s="126" t="s">
        <v>270</v>
      </c>
      <c r="T93" s="126">
        <v>4</v>
      </c>
      <c r="U93" s="135">
        <v>3</v>
      </c>
      <c r="V93" s="135">
        <v>6</v>
      </c>
    </row>
    <row r="94" spans="6:22">
      <c r="F94"/>
      <c r="G94"/>
    </row>
    <row r="95" spans="6:22">
      <c r="F95"/>
      <c r="G95"/>
    </row>
    <row r="96" spans="6:22">
      <c r="F96"/>
      <c r="G96"/>
    </row>
  </sheetData>
  <mergeCells count="130">
    <mergeCell ref="AK65:AL65"/>
    <mergeCell ref="AM65:AN65"/>
    <mergeCell ref="Y65:Z65"/>
    <mergeCell ref="AA65:AB65"/>
    <mergeCell ref="AC65:AD65"/>
    <mergeCell ref="AE65:AF65"/>
    <mergeCell ref="AG65:AH65"/>
    <mergeCell ref="AI65:AJ65"/>
    <mergeCell ref="AK64:AL64"/>
    <mergeCell ref="AM64:AN64"/>
    <mergeCell ref="I65:J65"/>
    <mergeCell ref="K65:L65"/>
    <mergeCell ref="M65:N65"/>
    <mergeCell ref="O65:P65"/>
    <mergeCell ref="Q65:R65"/>
    <mergeCell ref="S65:T65"/>
    <mergeCell ref="U65:V65"/>
    <mergeCell ref="W65:X65"/>
    <mergeCell ref="Y64:Z64"/>
    <mergeCell ref="AA64:AB64"/>
    <mergeCell ref="AC64:AD64"/>
    <mergeCell ref="AE64:AF64"/>
    <mergeCell ref="AG64:AH64"/>
    <mergeCell ref="AI64:AJ64"/>
    <mergeCell ref="AK63:AL63"/>
    <mergeCell ref="AM63:AN63"/>
    <mergeCell ref="I64:J64"/>
    <mergeCell ref="K64:L64"/>
    <mergeCell ref="M64:N64"/>
    <mergeCell ref="O64:P64"/>
    <mergeCell ref="Q64:R64"/>
    <mergeCell ref="S64:T64"/>
    <mergeCell ref="U64:V64"/>
    <mergeCell ref="W64:X64"/>
    <mergeCell ref="Y63:Z63"/>
    <mergeCell ref="AA63:AB63"/>
    <mergeCell ref="AC63:AD63"/>
    <mergeCell ref="AE63:AF63"/>
    <mergeCell ref="AG63:AH63"/>
    <mergeCell ref="AI63:AJ63"/>
    <mergeCell ref="AK62:AL62"/>
    <mergeCell ref="AM62:AN62"/>
    <mergeCell ref="I63:J63"/>
    <mergeCell ref="K63:L63"/>
    <mergeCell ref="M63:N63"/>
    <mergeCell ref="O63:P63"/>
    <mergeCell ref="Q63:R63"/>
    <mergeCell ref="S63:T63"/>
    <mergeCell ref="U63:V63"/>
    <mergeCell ref="W63:X63"/>
    <mergeCell ref="Y62:Z62"/>
    <mergeCell ref="AA62:AB62"/>
    <mergeCell ref="AC62:AD62"/>
    <mergeCell ref="AE62:AF62"/>
    <mergeCell ref="AG62:AH62"/>
    <mergeCell ref="AI62:AJ62"/>
    <mergeCell ref="AK61:AL61"/>
    <mergeCell ref="AM61:AN61"/>
    <mergeCell ref="I62:J62"/>
    <mergeCell ref="K62:L62"/>
    <mergeCell ref="M62:N62"/>
    <mergeCell ref="O62:P62"/>
    <mergeCell ref="Q62:R62"/>
    <mergeCell ref="S62:T62"/>
    <mergeCell ref="U62:V62"/>
    <mergeCell ref="W62:X62"/>
    <mergeCell ref="Y61:Z61"/>
    <mergeCell ref="AA61:AB61"/>
    <mergeCell ref="AC61:AD61"/>
    <mergeCell ref="AE61:AF61"/>
    <mergeCell ref="AG61:AH61"/>
    <mergeCell ref="AI61:AJ61"/>
    <mergeCell ref="AK59:AL59"/>
    <mergeCell ref="AM59:AN59"/>
    <mergeCell ref="I61:J61"/>
    <mergeCell ref="K61:L61"/>
    <mergeCell ref="M61:N61"/>
    <mergeCell ref="O61:P61"/>
    <mergeCell ref="Q61:R61"/>
    <mergeCell ref="S61:T61"/>
    <mergeCell ref="U61:V61"/>
    <mergeCell ref="W61:X61"/>
    <mergeCell ref="Y59:Z59"/>
    <mergeCell ref="AA59:AB59"/>
    <mergeCell ref="AC59:AD59"/>
    <mergeCell ref="AE59:AF59"/>
    <mergeCell ref="AG59:AH59"/>
    <mergeCell ref="AI59:AJ59"/>
    <mergeCell ref="AK56:AL56"/>
    <mergeCell ref="AM56:AN56"/>
    <mergeCell ref="I59:J59"/>
    <mergeCell ref="K59:L59"/>
    <mergeCell ref="M59:N59"/>
    <mergeCell ref="O59:P59"/>
    <mergeCell ref="Q59:R59"/>
    <mergeCell ref="S59:T59"/>
    <mergeCell ref="U59:V59"/>
    <mergeCell ref="W59:X59"/>
    <mergeCell ref="Y56:Z56"/>
    <mergeCell ref="AA56:AB56"/>
    <mergeCell ref="AC56:AD56"/>
    <mergeCell ref="AE56:AF56"/>
    <mergeCell ref="AG56:AH56"/>
    <mergeCell ref="AI56:AJ56"/>
    <mergeCell ref="AK54:AL54"/>
    <mergeCell ref="AM54:AN54"/>
    <mergeCell ref="I56:J56"/>
    <mergeCell ref="K56:L56"/>
    <mergeCell ref="M56:N56"/>
    <mergeCell ref="O56:P56"/>
    <mergeCell ref="Q56:R56"/>
    <mergeCell ref="S56:T56"/>
    <mergeCell ref="U56:V56"/>
    <mergeCell ref="W56:X56"/>
    <mergeCell ref="Y54:Z54"/>
    <mergeCell ref="AA54:AB54"/>
    <mergeCell ref="AC54:AD54"/>
    <mergeCell ref="AE54:AF54"/>
    <mergeCell ref="AG54:AH54"/>
    <mergeCell ref="AI54:AJ54"/>
    <mergeCell ref="B9:I9"/>
    <mergeCell ref="AQ37:AR37"/>
    <mergeCell ref="I54:J54"/>
    <mergeCell ref="K54:L54"/>
    <mergeCell ref="M54:N54"/>
    <mergeCell ref="O54:P54"/>
    <mergeCell ref="Q54:R54"/>
    <mergeCell ref="S54:T54"/>
    <mergeCell ref="U54:V54"/>
    <mergeCell ref="W54:X54"/>
  </mergeCells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Operating records</vt:lpstr>
      <vt:lpstr>Linear PL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haoran (徐 浩然)</dc:creator>
  <cp:lastModifiedBy>xu haoran (徐 浩然)</cp:lastModifiedBy>
  <dcterms:created xsi:type="dcterms:W3CDTF">2026-10-13T23:50:42Z</dcterms:created>
  <dcterms:modified xsi:type="dcterms:W3CDTF">2026-10-13T23:51:38Z</dcterms:modified>
</cp:coreProperties>
</file>